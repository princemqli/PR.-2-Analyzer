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023DEC11-A5AC-411A-8567-ACA199B649DC}" xr6:coauthVersionLast="47" xr6:coauthVersionMax="47" xr10:uidLastSave="{00000000-0000-0000-0000-000000000000}"/>
  <bookViews>
    <workbookView xWindow="240" yWindow="105" windowWidth="14805" windowHeight="8010" firstSheet="5" xr2:uid="{00000000-000D-0000-FFFF-FFFF00000000}"/>
  </bookViews>
  <sheets>
    <sheet name="Raw Data" sheetId="1" r:id="rId1"/>
    <sheet name="Customer Analysis" sheetId="2" r:id="rId2"/>
    <sheet name="Monthly Analysis" sheetId="3" r:id="rId3"/>
    <sheet name="DESCRIPTIVE STATISTICS" sheetId="4" r:id="rId4"/>
    <sheet name="Regression Sheet" sheetId="5" r:id="rId5"/>
    <sheet name="Professional Dashboard" sheetId="6" r:id="rId6"/>
  </sheets>
  <definedNames>
    <definedName name="_xlnm._FilterDatabase" localSheetId="1" hidden="1">'Customer Analysis'!$A$1:$C$31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6" l="1"/>
  <c r="B4" i="6"/>
  <c r="D4" i="6"/>
  <c r="K4" i="6"/>
  <c r="N2" i="2"/>
  <c r="N3" i="2"/>
  <c r="N4" i="2"/>
  <c r="N5" i="2"/>
  <c r="N6" i="2"/>
  <c r="K3" i="2"/>
  <c r="K4" i="2"/>
  <c r="K5" i="2"/>
  <c r="K6" i="2"/>
  <c r="K2" i="2"/>
  <c r="C8" i="3"/>
  <c r="A2" i="3" a="1"/>
  <c r="B11" i="5"/>
  <c r="B10" i="5"/>
  <c r="B9" i="5"/>
  <c r="B8" i="5"/>
  <c r="B7" i="5"/>
  <c r="D4" i="4"/>
  <c r="C5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5" i="4"/>
  <c r="D5" i="4"/>
  <c r="E5" i="4"/>
  <c r="E4" i="4"/>
  <c r="C4" i="4"/>
  <c r="B4" i="4"/>
  <c r="C2" i="3"/>
  <c r="B3" i="3"/>
  <c r="C3" i="3" s="1"/>
  <c r="D3" i="3" s="1"/>
  <c r="B4" i="3"/>
  <c r="C4" i="3" s="1"/>
  <c r="D4" i="3" s="1"/>
  <c r="B5" i="3"/>
  <c r="C5" i="3" s="1"/>
  <c r="D5" i="3" s="1"/>
  <c r="B6" i="3"/>
  <c r="C6" i="3" s="1"/>
  <c r="D6" i="3" s="1"/>
  <c r="B7" i="3"/>
  <c r="C7" i="3" s="1"/>
  <c r="D7" i="3" s="1"/>
  <c r="B8" i="3"/>
  <c r="D8" i="3" s="1"/>
  <c r="B9" i="3"/>
  <c r="C9" i="3" s="1"/>
  <c r="D9" i="3" s="1"/>
  <c r="B10" i="3"/>
  <c r="C10" i="3" s="1"/>
  <c r="D10" i="3" s="1"/>
  <c r="B11" i="3"/>
  <c r="C11" i="3" s="1"/>
  <c r="D11" i="3" s="1"/>
  <c r="B12" i="3"/>
  <c r="C12" i="3" s="1"/>
  <c r="D12" i="3" s="1"/>
  <c r="B13" i="3"/>
  <c r="C13" i="3" s="1"/>
  <c r="D13" i="3" s="1"/>
  <c r="B14" i="3"/>
  <c r="C14" i="3" s="1"/>
  <c r="D14" i="3" s="1"/>
  <c r="B2" i="3"/>
  <c r="N4" i="1"/>
  <c r="N3" i="1"/>
  <c r="A2" i="2" a="1"/>
  <c r="K2" i="1"/>
  <c r="K3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C16" i="2" l="1"/>
  <c r="C18" i="2"/>
  <c r="C8" i="2"/>
  <c r="C11" i="2"/>
  <c r="C15" i="2"/>
  <c r="C31" i="2"/>
  <c r="C4" i="2"/>
  <c r="C5" i="2"/>
  <c r="C17" i="2"/>
  <c r="C25" i="2"/>
  <c r="C28" i="2"/>
  <c r="C9" i="2"/>
  <c r="C26" i="2"/>
  <c r="C13" i="2"/>
  <c r="C2" i="2"/>
  <c r="C30" i="2"/>
  <c r="C29" i="2"/>
  <c r="C21" i="2"/>
  <c r="C22" i="2"/>
  <c r="C24" i="2"/>
  <c r="C7" i="2"/>
  <c r="C23" i="2"/>
  <c r="C19" i="2"/>
  <c r="C12" i="2"/>
  <c r="C14" i="2"/>
  <c r="C6" i="2"/>
  <c r="C27" i="2"/>
  <c r="C3" i="2"/>
  <c r="C20" i="2"/>
  <c r="C10" i="2"/>
  <c r="B31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6" i="2"/>
  <c r="B7" i="2"/>
  <c r="B8" i="2"/>
  <c r="B3" i="2"/>
  <c r="B4" i="2"/>
  <c r="B5" i="2"/>
  <c r="B2" i="2"/>
  <c r="G2" i="2" l="1"/>
  <c r="E2" i="2"/>
  <c r="F2" i="2" s="1"/>
  <c r="G3" i="2"/>
  <c r="E3" i="2" s="1"/>
  <c r="F3" i="2" s="1"/>
  <c r="G4" i="2"/>
  <c r="E4" i="2" s="1"/>
  <c r="F4" i="2" s="1"/>
  <c r="G5" i="2"/>
  <c r="E5" i="2" s="1"/>
  <c r="F5" i="2" s="1"/>
  <c r="G6" i="2"/>
  <c r="E6" i="2" s="1"/>
  <c r="F6" i="2" s="1"/>
  <c r="G7" i="2"/>
  <c r="E7" i="2" s="1"/>
  <c r="F7" i="2" s="1"/>
  <c r="G8" i="2"/>
  <c r="E8" i="2" s="1"/>
  <c r="F8" i="2" s="1"/>
  <c r="G9" i="2"/>
  <c r="E9" i="2" s="1"/>
  <c r="F9" i="2" s="1"/>
  <c r="G10" i="2"/>
  <c r="E10" i="2" s="1"/>
  <c r="F10" i="2" s="1"/>
  <c r="G11" i="2"/>
  <c r="E11" i="2" s="1"/>
  <c r="F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<sst xmlns="http://schemas.openxmlformats.org/spreadsheetml/2006/main" count="873" uniqueCount="116">
  <si>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</si>
  <si>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</si>
  <si>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</si>
  <si>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</si>
  <si>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</si>
  <si>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</si>
  <si>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</si>
  <si>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</si>
  <si>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</si>
  <si>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Month</t>
  </si>
  <si>
    <t>Timestamp</t>
  </si>
  <si>
    <t>What-If Analysis</t>
  </si>
  <si>
    <t>CUST001</t>
  </si>
  <si>
    <t>Linda Wilson</t>
  </si>
  <si>
    <t>West</t>
  </si>
  <si>
    <t>Electronics</t>
  </si>
  <si>
    <t>Sales Increase %</t>
  </si>
  <si>
    <t>Lisa Thomas</t>
  </si>
  <si>
    <t>Books</t>
  </si>
  <si>
    <t>Original Sales</t>
  </si>
  <si>
    <t>Mary Jackson</t>
  </si>
  <si>
    <t>Furniture</t>
  </si>
  <si>
    <t>Sales After Increase</t>
  </si>
  <si>
    <t>North</t>
  </si>
  <si>
    <t>Sarah Anderson</t>
  </si>
  <si>
    <t>Michael Anderson</t>
  </si>
  <si>
    <t>Central</t>
  </si>
  <si>
    <t>KEY INSIGHTS</t>
  </si>
  <si>
    <t>David Anderson</t>
  </si>
  <si>
    <t>Clothing</t>
  </si>
  <si>
    <t>• Total Sales reached ₹195,217.76 with Total Profit of ₹68,287.01.</t>
  </si>
  <si>
    <t>CUST002</t>
  </si>
  <si>
    <t>Lisa Davis</t>
  </si>
  <si>
    <t>• West and Central regions contribute the highest sales among the regions.</t>
  </si>
  <si>
    <t>Mary Davis</t>
  </si>
  <si>
    <t>South</t>
  </si>
  <si>
    <t>• Books is the highest-selling product category, followed by Clothing and Furniture.</t>
  </si>
  <si>
    <t>Linda Brown</t>
  </si>
  <si>
    <t>East</t>
  </si>
  <si>
    <t>• Average discount is 9.7%, while monthly sales show noticeable fluctuations across the period.</t>
  </si>
  <si>
    <t>Emma Wilson</t>
  </si>
  <si>
    <t>Office Supplies</t>
  </si>
  <si>
    <t>CUST003</t>
  </si>
  <si>
    <t>Emma Davis</t>
  </si>
  <si>
    <t>James Davis</t>
  </si>
  <si>
    <t>James Wilson</t>
  </si>
  <si>
    <t>Linda Moore</t>
  </si>
  <si>
    <t>CUST004</t>
  </si>
  <si>
    <t>Sarah Davis</t>
  </si>
  <si>
    <t>James Taylor</t>
  </si>
  <si>
    <t>CUST005</t>
  </si>
  <si>
    <t>Robert Anderson</t>
  </si>
  <si>
    <t>David Smith</t>
  </si>
  <si>
    <t>Linda Taylor</t>
  </si>
  <si>
    <t>CUST006</t>
  </si>
  <si>
    <t>CUST007</t>
  </si>
  <si>
    <t>Linda Jackson</t>
  </si>
  <si>
    <t>David Brown</t>
  </si>
  <si>
    <t>Emma Taylor</t>
  </si>
  <si>
    <t>CUST008</t>
  </si>
  <si>
    <t>Mary Wilson</t>
  </si>
  <si>
    <t>John Brown</t>
  </si>
  <si>
    <t>David Davis</t>
  </si>
  <si>
    <t>CUST009</t>
  </si>
  <si>
    <t>CUST010</t>
  </si>
  <si>
    <t>David Thomas</t>
  </si>
  <si>
    <t>CUST011</t>
  </si>
  <si>
    <t>CUST012</t>
  </si>
  <si>
    <t>CUST013</t>
  </si>
  <si>
    <t>CUST014</t>
  </si>
  <si>
    <t>CUST015</t>
  </si>
  <si>
    <t>CUST016</t>
  </si>
  <si>
    <t>CUST017</t>
  </si>
  <si>
    <t>Linda Davis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</si>
  <si>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</si>
  <si>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</si>
  <si>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</si>
  <si>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</si>
  <si>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</si>
  <si>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</si>
  <si>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</si>
  <si>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</si>
  <si>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</si>
  <si>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</si>
  <si>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</si>
  <si>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</si>
  <si>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</si>
  <si>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Total Sales</t>
  </si>
  <si>
    <t>Top 10 Customers Name</t>
  </si>
  <si>
    <t>Product Category</t>
  </si>
  <si>
    <t>Growth %</t>
  </si>
  <si>
    <t>Trend</t>
  </si>
  <si>
    <t>DESCRIPTIVE STATISTICS</t>
  </si>
  <si>
    <t>Statistic</t>
  </si>
  <si>
    <t>Count</t>
  </si>
  <si>
    <t>Mean</t>
  </si>
  <si>
    <t>Standard Deviation</t>
  </si>
  <si>
    <t>Minimum</t>
  </si>
  <si>
    <t>Maximum</t>
  </si>
  <si>
    <t>Sum</t>
  </si>
  <si>
    <t>REGRESSION ANALYSIS</t>
  </si>
  <si>
    <t>Variable</t>
  </si>
  <si>
    <t>Range</t>
  </si>
  <si>
    <t>X — Discount</t>
  </si>
  <si>
    <t>Raw Data G2:G201</t>
  </si>
  <si>
    <t>Y — Profit</t>
  </si>
  <si>
    <t>Raw Data I2:I201</t>
  </si>
  <si>
    <t>Correlation (r)</t>
  </si>
  <si>
    <t>R²</t>
  </si>
  <si>
    <t>Slope</t>
  </si>
  <si>
    <t>Intercept</t>
  </si>
  <si>
    <t>Regression Equation</t>
  </si>
  <si>
    <t>SALES PERFORMANCE DASHBOARD</t>
  </si>
  <si>
    <t>Total Profit</t>
  </si>
  <si>
    <t>Total Orders</t>
  </si>
  <si>
    <t>Avg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</si>
</sst>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2" fontId="2" fillId="0" borderId="1" xfId="0" applyNumberFormat="1" applyFont="1" applyBorder="1"/>
    <xf numFmtId="0" fontId="0" fillId="0" borderId="0" xfId="0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2" fillId="2" borderId="1" xfId="0" applyFont="1" applyFill="1" applyBorder="1"/>
    <xf numFmtId="0" fontId="0" fillId="3" borderId="1" xfId="0" applyFill="1" applyBorder="1"/>
    <xf numFmtId="10" fontId="2" fillId="0" borderId="1" xfId="0" applyNumberFormat="1" applyFont="1" applyBorder="1"/>
    <xf numFmtId="10" fontId="0" fillId="0" borderId="0" xfId="0" applyNumberFormat="1"/>
    <xf numFmtId="0" fontId="0" fillId="0" borderId="0" xfId="0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2" fontId="1" fillId="0" borderId="1" xfId="0" applyNumberFormat="1" applyFont="1" applyBorder="1" applyAlignment="1">
      <alignment horizontal="center" vertical="center" readingOrder="1"/>
    </xf>
    <xf numFmtId="9" fontId="1" fillId="0" borderId="1" xfId="0" applyNumberFormat="1" applyFont="1" applyBorder="1" applyAlignment="1">
      <alignment horizontal="center" vertical="center" readingOrder="1"/>
    </xf>
    <xf numFmtId="14" fontId="1" fillId="0" borderId="1" xfId="0" applyNumberFormat="1" applyFont="1" applyBorder="1" applyAlignment="1">
      <alignment horizontal="center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0" fontId="1" fillId="0" borderId="6" xfId="0" applyNumberFormat="1" applyFont="1" applyBorder="1" applyAlignment="1">
      <alignment horizontal="center" vertical="center" readingOrder="1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8" fillId="4" borderId="1" xfId="0" applyFont="1" applyFill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0" fontId="0" fillId="0" borderId="0" xfId="0" applyAlignment="1"/>
    <xf numFmtId="0" fontId="7" fillId="0" borderId="0" xfId="0" applyFont="1" applyAlignment="1">
      <alignment vertical="top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0" fillId="0" borderId="0" xfId="0" applyFont="1" applyFill="1" applyBorder="1"/>
    <xf numFmtId="0" fontId="0" fillId="0" borderId="4" xfId="0" applyFont="1" applyFill="1" applyBorder="1"/>
    <xf numFmtId="0" fontId="0" fillId="0" borderId="2" xfId="0" applyFont="1" applyFill="1" applyBorder="1"/>
    <xf numFmtId="0" fontId="0" fillId="0" borderId="11" xfId="0" applyFont="1" applyFill="1" applyBorder="1"/>
    <xf numFmtId="0" fontId="0" fillId="0" borderId="12" xfId="0" applyFont="1" applyFill="1" applyBorder="1"/>
    <xf numFmtId="0" fontId="0" fillId="0" borderId="13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center" vertical="center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center" vertical="center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" formatCode="0.00"/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9" formatCode="m/d/yyyy"/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3" formatCode="0%"/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2" formatCode="0.00"/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center" vertical="center" textRotation="0" wrapText="0" indent="0" justifyLastLine="0" shrinkToFit="0" readingOrder="1"/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'Monthly Analysis'!$A$2:$A$14</c:f>
              <c:strCache>
                <c:ptCount val="13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Feb-2025</c:v>
                </c:pt>
                <c:pt idx="5">
                  <c:v>Jan-2025</c:v>
                </c:pt>
                <c:pt idx="6">
                  <c:v>Jul-2024</c:v>
                </c:pt>
                <c:pt idx="7">
                  <c:v>Jun-2024</c:v>
                </c:pt>
                <c:pt idx="8">
                  <c:v>Mar-2025</c:v>
                </c:pt>
                <c:pt idx="9">
                  <c:v>May-2024</c:v>
                </c:pt>
                <c:pt idx="10">
                  <c:v>Nov-2024</c:v>
                </c:pt>
                <c:pt idx="11">
                  <c:v>Oct-2024</c:v>
                </c:pt>
                <c:pt idx="12">
                  <c:v>Sep-2024</c:v>
                </c:pt>
              </c:strCache>
            </c:strRef>
          </c:cat>
          <c:val>
            <c:numRef>
              <c:f>'Monthly Analysis'!$B$2:$B$14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3212.17</c:v>
                </c:pt>
                <c:pt idx="2">
                  <c:v>10091.700000000001</c:v>
                </c:pt>
                <c:pt idx="3">
                  <c:v>11120.039999999999</c:v>
                </c:pt>
                <c:pt idx="4">
                  <c:v>14006.359999999997</c:v>
                </c:pt>
                <c:pt idx="5">
                  <c:v>14914.65</c:v>
                </c:pt>
                <c:pt idx="6">
                  <c:v>11609.039999999999</c:v>
                </c:pt>
                <c:pt idx="7">
                  <c:v>20187.509999999998</c:v>
                </c:pt>
                <c:pt idx="8">
                  <c:v>17655.22</c:v>
                </c:pt>
                <c:pt idx="9">
                  <c:v>18507.340000000004</c:v>
                </c:pt>
                <c:pt idx="10">
                  <c:v>20135.030000000002</c:v>
                </c:pt>
                <c:pt idx="11">
                  <c:v>14215.239999999998</c:v>
                </c:pt>
                <c:pt idx="12">
                  <c:v>20533.500000000004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B-49E3-A8BF-31E569569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227399"/>
        <c:axId val="1573475335"/>
      </c:lineChart>
      <c:catAx>
        <c:axId val="1551227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75335"/>
        <c:crosses val="autoZero"/>
        <c:auto val="1"/>
        <c:lblAlgn val="ctr"/>
        <c:lblOffset val="100"/>
        <c:noMultiLvlLbl val="0"/>
      </c:catAx>
      <c:valAx>
        <c:axId val="1573475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27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'Customer Analysis'!$F$2:$F$11</c:f>
              <c:strCache>
                <c:ptCount val="10"/>
                <c:pt idx="0">
                  <c:v>Linda Taylor</c:v>
                </c:pt>
                <c:pt idx="1">
                  <c:v>Linda Taylor</c:v>
                </c:pt>
                <c:pt idx="2">
                  <c:v>Michael Anderson</c:v>
                </c:pt>
                <c:pt idx="3">
                  <c:v>Robert Anderson</c:v>
                </c:pt>
                <c:pt idx="4">
                  <c:v>Mary Davis</c:v>
                </c:pt>
                <c:pt idx="5">
                  <c:v>Sarah Anderson</c:v>
                </c:pt>
                <c:pt idx="6">
                  <c:v>Emma Davis</c:v>
                </c:pt>
                <c:pt idx="7">
                  <c:v>Robert Anderson</c:v>
                </c:pt>
                <c:pt idx="8">
                  <c:v>James Wilson</c:v>
                </c:pt>
                <c:pt idx="9">
                  <c:v>Lisa Thomas</c:v>
                </c:pt>
              </c:strCache>
            </c:strRef>
          </c:cat>
          <c:val>
            <c:numRef>
              <c:f>'Customer Analysis'!$G$2:$G$11</c:f>
              <c:numCache>
                <c:formatCode>0.00</c:formatCode>
                <c:ptCount val="10"/>
                <c:pt idx="0">
                  <c:v>11611.060000000001</c:v>
                </c:pt>
                <c:pt idx="1">
                  <c:v>10293.870000000001</c:v>
                </c:pt>
                <c:pt idx="2">
                  <c:v>9941.8799999999992</c:v>
                </c:pt>
                <c:pt idx="3">
                  <c:v>9760.7999999999993</c:v>
                </c:pt>
                <c:pt idx="4">
                  <c:v>9371.81</c:v>
                </c:pt>
                <c:pt idx="5">
                  <c:v>8740.18</c:v>
                </c:pt>
                <c:pt idx="6">
                  <c:v>8490.18</c:v>
                </c:pt>
                <c:pt idx="7">
                  <c:v>8339</c:v>
                </c:pt>
                <c:pt idx="8">
                  <c:v>7928.71</c:v>
                </c:pt>
                <c:pt idx="9">
                  <c:v>7813.59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9-471E-96BE-C94B9BD82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928455"/>
        <c:axId val="1544631815"/>
      </c:barChart>
      <c:catAx>
        <c:axId val="1309928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31815"/>
        <c:crosses val="autoZero"/>
        <c:auto val="1"/>
        <c:lblAlgn val="ctr"/>
        <c:lblOffset val="100"/>
        <c:noMultiLvlLbl val="0"/>
      </c:catAx>
      <c:valAx>
        <c:axId val="1544631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2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Analysis'!$K$1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'Customer Analysis'!$J$2:$J$6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'Customer Analysis'!$K$2:$K$6</c:f>
              <c:numCache>
                <c:formatCode>General</c:formatCode>
                <c:ptCount val="5"/>
                <c:pt idx="0">
                  <c:v>34975.42</c:v>
                </c:pt>
                <c:pt idx="1">
                  <c:v>40248.789999999994</c:v>
                </c:pt>
                <c:pt idx="2">
                  <c:v>32441.640000000007</c:v>
                </c:pt>
                <c:pt idx="3">
                  <c:v>44083.58</c:v>
                </c:pt>
                <c:pt idx="4">
                  <c:v>43468.330000000009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F-4FA1-ABC2-2D95F5057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925383"/>
        <c:axId val="1309927943"/>
      </c:barChart>
      <c:catAx>
        <c:axId val="1309925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27943"/>
        <c:crosses val="autoZero"/>
        <c:auto val="1"/>
        <c:lblAlgn val="ctr"/>
        <c:lblOffset val="100"/>
        <c:noMultiLvlLbl val="0"/>
      </c:catAx>
      <c:valAx>
        <c:axId val="1309927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92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Analysis'!$N$1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cat>
            <c:strRef>
              <c:f>'Customer Analysis'!$M$2:$M$6</c:f>
              <c:strCache>
                <c:ptCount val="5"/>
                <c:pt idx="0">
                  <c:v>Electronics</c:v>
                </c:pt>
                <c:pt idx="1">
                  <c:v>Books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Clothing</c:v>
                </c:pt>
              </c:strCache>
            </c:strRef>
          </c:cat>
          <c:val>
            <c:numRef>
              <c:f>'Customer Analysis'!$N$2:$N$6</c:f>
              <c:numCache>
                <c:formatCode>General</c:formatCode>
                <c:ptCount val="5"/>
                <c:pt idx="0">
                  <c:v>41044.000000000007</c:v>
                </c:pt>
                <c:pt idx="1">
                  <c:v>47002.46</c:v>
                </c:pt>
                <c:pt idx="2">
                  <c:v>36612.89</c:v>
                </c:pt>
                <c:pt idx="3">
                  <c:v>28630.819999999989</c:v>
                </c:pt>
                <c:pt idx="4">
                  <c:v>41927.590000000011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B-4C3F-8967-C6A8A8B31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3977223"/>
        <c:axId val="1551188487"/>
      </c:barChart>
      <c:catAx>
        <c:axId val="1483977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188487"/>
        <c:crosses val="autoZero"/>
        <c:auto val="1"/>
        <c:lblAlgn val="ctr"/>
        <c:lblOffset val="100"/>
        <c:noMultiLvlLbl val="0"/>
      </c:catAx>
      <c:valAx>
        <c:axId val="1551188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7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1514475</xdr:colOff>
      <xdr:row>21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DA4B0C-2404-48FF-950B-28985E8DD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9525</xdr:rowOff>
    </xdr:from>
    <xdr:to>
      <xdr:col>4</xdr:col>
      <xdr:colOff>1514475</xdr:colOff>
      <xdr:row>42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B7750C-B077-4BA5-850D-4A31CB66322C}"/>
            </a:ext>
            <a:ext uri="{147F2762-F138-4A5C-976F-8EAC2B608ADB}">
              <a16:predDERef xmlns:a16="http://schemas.microsoft.com/office/drawing/2014/main" pred="{43DA4B0C-2404-48FF-950B-28985E8DD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1504950</xdr:colOff>
      <xdr:row>4</xdr:row>
      <xdr:rowOff>0</xdr:rowOff>
    </xdr:from>
    <xdr:to>
      <xdr:col>16</xdr:col>
      <xdr:colOff>152400</xdr:colOff>
      <xdr:row>21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9105F9-E606-4125-961F-85B801FB8C22}"/>
            </a:ext>
            <a:ext uri="{147F2762-F138-4A5C-976F-8EAC2B608ADB}">
              <a16:predDERef xmlns:a16="http://schemas.microsoft.com/office/drawing/2014/main" pred="{5DB7750C-B077-4BA5-850D-4A31CB663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1524000</xdr:colOff>
      <xdr:row>21</xdr:row>
      <xdr:rowOff>9525</xdr:rowOff>
    </xdr:from>
    <xdr:to>
      <xdr:col>16</xdr:col>
      <xdr:colOff>152400</xdr:colOff>
      <xdr:row>42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E1ECCE-5BDE-4389-85D9-2981583ED27C}"/>
            </a:ext>
            <a:ext uri="{147F2762-F138-4A5C-976F-8EAC2B608ADB}">
              <a16:predDERef xmlns:a16="http://schemas.microsoft.com/office/drawing/2014/main" pred="{1A9105F9-E606-4125-961F-85B801FB8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29D53-D3FF-43C0-8277-646769DE400F}" name="SalesData" displayName="SalesData" ref="A1:K201" totalsRowShown="0" headerRowDxfId="15" dataDxfId="14" headerRowBorderDxfId="12" tableBorderDxfId="13">
  <autoFilter ref="A1:K201" xr:uid="{D2C29D53-D3FF-43C0-8277-646769DE400F}"/>
  <sortState xmlns:xlrd2="http://schemas.microsoft.com/office/spreadsheetml/2017/richdata2" ref="A2:I201">
    <sortCondition ref="A1:A201"/>
  </sortState>
  <tableColumns count="11">
    <tableColumn id="1" xr3:uid="{A1B11EE9-72E0-40FF-B282-6397D8E83BB6}" name="Customer_ID" dataDxfId="11"/>
    <tableColumn id="2" xr3:uid="{5152BC36-BAA4-4B23-BFD2-050F416CEDFA}" name="Customer_Name" dataDxfId="10"/>
    <tableColumn id="3" xr3:uid="{5583E6A4-ECE9-41FE-8210-3D7D0E787D24}" name="Region" dataDxfId="9"/>
    <tableColumn id="4" xr3:uid="{4FC206C2-3DB5-4B8E-A18E-1AE0F8CF2338}" name="Product_Category" dataDxfId="8"/>
    <tableColumn id="5" xr3:uid="{B717063F-64BC-4BA6-BBA1-B55D5907B873}" name="Sales" dataDxfId="7"/>
    <tableColumn id="6" xr3:uid="{664043A6-FBB4-447A-9F0E-A23BC97605E2}" name="Quantity" dataDxfId="6"/>
    <tableColumn id="7" xr3:uid="{3CEFBD33-7A6C-49C7-8936-EEF37F80E6FD}" name="Discount" dataDxfId="5"/>
    <tableColumn id="8" xr3:uid="{EAE1E2EE-3552-4838-9CD2-FDBC6A014F46}" name="Order_Date" dataDxfId="4"/>
    <tableColumn id="9" xr3:uid="{035D57D1-D70C-4A4A-840B-55DA72FF2D8E}" name="Profit" dataDxfId="3"/>
    <tableColumn id="10" xr3:uid="{2284AF19-D3F5-4996-8F72-566618D2F931}" name="Month" dataDxfId="2">
      <calculatedColumnFormula>TEXT(H2,"mmm-yyyy")</calculatedColumnFormula>
    </tableColumn>
    <tableColumn id="11" xr3:uid="{908EE036-589A-4DE6-A43B-2A62C3DAC444}" name="Timestamp" dataDxfId="1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7"/>
  <sheetViews>
    <sheetView tabSelected="1" workbookViewId="0">
      <selection activeCell="N38" sqref="N38"/>
    </sheetView>
  </sheetViews>
  <sheetFormatPr defaultRowHeight="15"/>
  <cols>
    <col min="1" max="1" width="15" style="18" bestFit="1" customWidth="1"/>
    <col min="2" max="2" width="18.5703125" style="18" bestFit="1" customWidth="1"/>
    <col min="3" max="3" width="9.5703125" style="18" bestFit="1" customWidth="1"/>
    <col min="4" max="4" width="19.7109375" style="18" bestFit="1" customWidth="1"/>
    <col min="5" max="5" width="8.140625" style="21" bestFit="1" customWidth="1"/>
    <col min="6" max="6" width="11.28515625" style="18" bestFit="1" customWidth="1"/>
    <col min="7" max="7" width="11.28515625" style="37" bestFit="1" customWidth="1"/>
    <col min="8" max="8" width="13.85546875" style="38" bestFit="1" customWidth="1"/>
    <col min="9" max="9" width="8.42578125" style="21" bestFit="1" customWidth="1"/>
    <col min="10" max="10" width="10" style="28" customWidth="1"/>
    <col min="11" max="11" width="13.7109375" style="39" customWidth="1"/>
    <col min="12" max="12" width="9.140625" style="18"/>
    <col min="13" max="13" width="18" style="18" customWidth="1"/>
    <col min="14" max="14" width="15.5703125" style="18" customWidth="1"/>
  </cols>
  <sheetData>
    <row r="1" spans="1:27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3" t="s">
        <v>5</v>
      </c>
      <c r="G1" s="25" t="s">
        <v>6</v>
      </c>
      <c r="H1" s="26" t="s">
        <v>7</v>
      </c>
      <c r="I1" s="27" t="s">
        <v>8</v>
      </c>
      <c r="J1" s="28" t="s">
        <v>9</v>
      </c>
      <c r="K1" s="29" t="s">
        <v>10</v>
      </c>
      <c r="M1" s="48" t="s">
        <v>11</v>
      </c>
      <c r="N1" s="49"/>
    </row>
    <row r="2" spans="1:27">
      <c r="A2" s="30" t="s">
        <v>12</v>
      </c>
      <c r="B2" s="30" t="s">
        <v>13</v>
      </c>
      <c r="C2" s="30" t="s">
        <v>14</v>
      </c>
      <c r="D2" s="30" t="s">
        <v>15</v>
      </c>
      <c r="E2" s="31">
        <v>1317.53</v>
      </c>
      <c r="F2" s="30">
        <v>12</v>
      </c>
      <c r="G2" s="32">
        <v>0.05</v>
      </c>
      <c r="H2" s="33">
        <v>45398</v>
      </c>
      <c r="I2" s="34">
        <v>312.91000000000003</v>
      </c>
      <c r="J2" s="30" t="str">
        <f t="shared" ref="J2:J33" si="0">TEXT(H2,"mmm-yyyy")</f>
        <v>Apr-2024</v>
      </c>
      <c r="K2" s="35">
        <f ca="1">NOW()</f>
        <v>46295.551106250001</v>
      </c>
      <c r="M2" s="17" t="s">
        <v>16</v>
      </c>
      <c r="N2" s="36">
        <v>0.1</v>
      </c>
    </row>
    <row r="3" spans="1:27">
      <c r="A3" s="30" t="s">
        <v>12</v>
      </c>
      <c r="B3" s="30" t="s">
        <v>17</v>
      </c>
      <c r="C3" s="30" t="s">
        <v>14</v>
      </c>
      <c r="D3" s="30" t="s">
        <v>18</v>
      </c>
      <c r="E3" s="31">
        <v>636.70000000000005</v>
      </c>
      <c r="F3" s="30">
        <v>4</v>
      </c>
      <c r="G3" s="32">
        <v>0.2</v>
      </c>
      <c r="H3" s="33">
        <v>45411</v>
      </c>
      <c r="I3" s="34">
        <v>203.74</v>
      </c>
      <c r="J3" s="30" t="str">
        <f t="shared" si="0"/>
        <v>Apr-2024</v>
      </c>
      <c r="K3" s="35">
        <f ca="1">NOW()</f>
        <v>46295.551106250001</v>
      </c>
      <c r="M3" s="17" t="s">
        <v>19</v>
      </c>
      <c r="N3" s="20">
        <f>SUM(E2:E201)</f>
        <v>195217.75999999995</v>
      </c>
    </row>
    <row r="4" spans="1:27">
      <c r="A4" s="30" t="s">
        <v>12</v>
      </c>
      <c r="B4" s="30" t="s">
        <v>20</v>
      </c>
      <c r="C4" s="30" t="s">
        <v>14</v>
      </c>
      <c r="D4" s="30" t="s">
        <v>21</v>
      </c>
      <c r="E4" s="31">
        <v>853.72</v>
      </c>
      <c r="F4" s="30">
        <v>5</v>
      </c>
      <c r="G4" s="32">
        <v>0.15</v>
      </c>
      <c r="H4" s="33">
        <v>45428</v>
      </c>
      <c r="I4" s="34">
        <v>253.98</v>
      </c>
      <c r="J4" s="30" t="str">
        <f t="shared" si="0"/>
        <v>May-2024</v>
      </c>
      <c r="K4" s="35">
        <f t="shared" ref="K2:K33" ca="1" si="1">NOW()</f>
        <v>46295.551106250001</v>
      </c>
      <c r="M4" s="17" t="s">
        <v>22</v>
      </c>
      <c r="N4" s="20">
        <f>N3*(1+N2)</f>
        <v>214739.53599999996</v>
      </c>
    </row>
    <row r="5" spans="1:27">
      <c r="A5" s="30" t="s">
        <v>12</v>
      </c>
      <c r="B5" s="30" t="s">
        <v>17</v>
      </c>
      <c r="C5" s="30" t="s">
        <v>23</v>
      </c>
      <c r="D5" s="30" t="s">
        <v>21</v>
      </c>
      <c r="E5" s="31">
        <v>1077.92</v>
      </c>
      <c r="F5" s="30">
        <v>3</v>
      </c>
      <c r="G5" s="32">
        <v>0.05</v>
      </c>
      <c r="H5" s="33">
        <v>45608</v>
      </c>
      <c r="I5" s="34">
        <v>358.41</v>
      </c>
      <c r="J5" s="30" t="str">
        <f t="shared" si="0"/>
        <v>Nov-2024</v>
      </c>
      <c r="K5" s="35">
        <f t="shared" ca="1" si="1"/>
        <v>46295.551106250001</v>
      </c>
    </row>
    <row r="6" spans="1:27">
      <c r="A6" s="30" t="s">
        <v>12</v>
      </c>
      <c r="B6" s="30" t="s">
        <v>24</v>
      </c>
      <c r="C6" s="30" t="s">
        <v>14</v>
      </c>
      <c r="D6" s="30" t="s">
        <v>15</v>
      </c>
      <c r="E6" s="31">
        <v>894.55</v>
      </c>
      <c r="F6" s="30">
        <v>19</v>
      </c>
      <c r="G6" s="32">
        <v>0.2</v>
      </c>
      <c r="H6" s="33">
        <v>45625</v>
      </c>
      <c r="I6" s="34">
        <v>178.91</v>
      </c>
      <c r="J6" s="30" t="str">
        <f t="shared" si="0"/>
        <v>Nov-2024</v>
      </c>
      <c r="K6" s="35">
        <f t="shared" ca="1" si="1"/>
        <v>46295.551106250001</v>
      </c>
    </row>
    <row r="7" spans="1:27">
      <c r="A7" s="30" t="s">
        <v>12</v>
      </c>
      <c r="B7" s="30" t="s">
        <v>25</v>
      </c>
      <c r="C7" s="30" t="s">
        <v>26</v>
      </c>
      <c r="D7" s="30" t="s">
        <v>21</v>
      </c>
      <c r="E7" s="31">
        <v>1432.47</v>
      </c>
      <c r="F7" s="30">
        <v>16</v>
      </c>
      <c r="G7" s="32">
        <v>0.15</v>
      </c>
      <c r="H7" s="33">
        <v>45640</v>
      </c>
      <c r="I7" s="34">
        <v>426.16</v>
      </c>
      <c r="J7" s="30" t="str">
        <f t="shared" si="0"/>
        <v>Dec-2024</v>
      </c>
      <c r="K7" s="35">
        <f t="shared" ca="1" si="1"/>
        <v>46295.551106250001</v>
      </c>
      <c r="M7" s="68" t="s">
        <v>27</v>
      </c>
      <c r="N7" s="69"/>
      <c r="O7" s="69"/>
      <c r="P7" s="69"/>
      <c r="Q7" s="69"/>
      <c r="R7" s="69"/>
      <c r="S7" s="69"/>
      <c r="T7" s="69"/>
      <c r="U7" s="70"/>
      <c r="V7" s="62"/>
      <c r="W7" s="62"/>
      <c r="X7" s="62"/>
      <c r="Y7" s="62"/>
      <c r="Z7" s="62"/>
      <c r="AA7" s="62"/>
    </row>
    <row r="8" spans="1:27">
      <c r="A8" s="30" t="s">
        <v>12</v>
      </c>
      <c r="B8" s="30" t="s">
        <v>28</v>
      </c>
      <c r="C8" s="30" t="s">
        <v>23</v>
      </c>
      <c r="D8" s="30" t="s">
        <v>29</v>
      </c>
      <c r="E8" s="31">
        <v>336.66</v>
      </c>
      <c r="F8" s="30">
        <v>13</v>
      </c>
      <c r="G8" s="32">
        <v>0.2</v>
      </c>
      <c r="H8" s="33">
        <v>45651</v>
      </c>
      <c r="I8" s="34">
        <v>134.66</v>
      </c>
      <c r="J8" s="30" t="str">
        <f t="shared" si="0"/>
        <v>Dec-2024</v>
      </c>
      <c r="K8" s="35">
        <f t="shared" ca="1" si="1"/>
        <v>46295.551106250001</v>
      </c>
      <c r="M8" s="63" t="s">
        <v>30</v>
      </c>
      <c r="N8" s="62"/>
      <c r="O8" s="62"/>
      <c r="P8" s="62"/>
      <c r="Q8" s="62"/>
      <c r="R8" s="62"/>
      <c r="S8" s="62"/>
      <c r="T8" s="62"/>
      <c r="U8" s="64"/>
      <c r="V8" s="62"/>
      <c r="W8" s="62"/>
      <c r="X8" s="62"/>
      <c r="Y8" s="62"/>
      <c r="Z8" s="62"/>
      <c r="AA8" s="62"/>
    </row>
    <row r="9" spans="1:27">
      <c r="A9" s="30" t="s">
        <v>31</v>
      </c>
      <c r="B9" s="30" t="s">
        <v>32</v>
      </c>
      <c r="C9" s="30" t="s">
        <v>14</v>
      </c>
      <c r="D9" s="30" t="s">
        <v>18</v>
      </c>
      <c r="E9" s="31">
        <v>942.9</v>
      </c>
      <c r="F9" s="30">
        <v>18</v>
      </c>
      <c r="G9" s="32">
        <v>0.1</v>
      </c>
      <c r="H9" s="33">
        <v>45466</v>
      </c>
      <c r="I9" s="34">
        <v>339.44</v>
      </c>
      <c r="J9" s="30" t="str">
        <f t="shared" si="0"/>
        <v>Jun-2024</v>
      </c>
      <c r="K9" s="35">
        <f t="shared" ca="1" si="1"/>
        <v>46295.551106250001</v>
      </c>
      <c r="M9" s="63" t="s">
        <v>33</v>
      </c>
      <c r="N9" s="62"/>
      <c r="O9" s="62"/>
      <c r="P9" s="62"/>
      <c r="Q9" s="62"/>
      <c r="R9" s="62"/>
      <c r="S9" s="62"/>
      <c r="T9" s="62"/>
      <c r="U9" s="64"/>
      <c r="V9" s="62"/>
      <c r="W9" s="62"/>
      <c r="X9" s="62"/>
      <c r="Y9" s="62"/>
      <c r="Z9" s="62"/>
      <c r="AA9" s="62"/>
    </row>
    <row r="10" spans="1:27">
      <c r="A10" s="30" t="s">
        <v>31</v>
      </c>
      <c r="B10" s="30" t="s">
        <v>34</v>
      </c>
      <c r="C10" s="30" t="s">
        <v>35</v>
      </c>
      <c r="D10" s="30" t="s">
        <v>18</v>
      </c>
      <c r="E10" s="31">
        <v>876.44</v>
      </c>
      <c r="F10" s="30">
        <v>12</v>
      </c>
      <c r="G10" s="32">
        <v>0.05</v>
      </c>
      <c r="H10" s="33">
        <v>45488</v>
      </c>
      <c r="I10" s="34">
        <v>333.05</v>
      </c>
      <c r="J10" s="30" t="str">
        <f t="shared" si="0"/>
        <v>Jul-2024</v>
      </c>
      <c r="K10" s="35">
        <f t="shared" ca="1" si="1"/>
        <v>46295.551106250001</v>
      </c>
      <c r="M10" s="63" t="s">
        <v>36</v>
      </c>
      <c r="N10" s="62"/>
      <c r="O10" s="62"/>
      <c r="P10" s="62"/>
      <c r="Q10" s="62"/>
      <c r="R10" s="62"/>
      <c r="S10" s="62"/>
      <c r="T10" s="62"/>
      <c r="U10" s="64"/>
      <c r="V10" s="62"/>
      <c r="W10" s="62"/>
      <c r="X10" s="62"/>
      <c r="Y10" s="62"/>
      <c r="Z10" s="62"/>
      <c r="AA10" s="62"/>
    </row>
    <row r="11" spans="1:27">
      <c r="A11" s="30" t="s">
        <v>31</v>
      </c>
      <c r="B11" s="30" t="s">
        <v>37</v>
      </c>
      <c r="C11" s="30" t="s">
        <v>38</v>
      </c>
      <c r="D11" s="30" t="s">
        <v>15</v>
      </c>
      <c r="E11" s="31">
        <v>1410.59</v>
      </c>
      <c r="F11" s="30">
        <v>15</v>
      </c>
      <c r="G11" s="32">
        <v>0</v>
      </c>
      <c r="H11" s="33">
        <v>45615</v>
      </c>
      <c r="I11" s="34">
        <v>352.65</v>
      </c>
      <c r="J11" s="30" t="str">
        <f t="shared" si="0"/>
        <v>Nov-2024</v>
      </c>
      <c r="K11" s="35">
        <f t="shared" ca="1" si="1"/>
        <v>46295.551106250001</v>
      </c>
      <c r="M11" s="65" t="s">
        <v>39</v>
      </c>
      <c r="N11" s="66"/>
      <c r="O11" s="66"/>
      <c r="P11" s="66"/>
      <c r="Q11" s="66"/>
      <c r="R11" s="66"/>
      <c r="S11" s="66"/>
      <c r="T11" s="66"/>
      <c r="U11" s="67"/>
      <c r="V11" s="62"/>
      <c r="W11" s="62"/>
      <c r="X11" s="62"/>
      <c r="Y11" s="62"/>
      <c r="Z11" s="62"/>
      <c r="AA11" s="62"/>
    </row>
    <row r="12" spans="1:27">
      <c r="A12" s="30" t="s">
        <v>31</v>
      </c>
      <c r="B12" s="30" t="s">
        <v>40</v>
      </c>
      <c r="C12" s="30" t="s">
        <v>35</v>
      </c>
      <c r="D12" s="30" t="s">
        <v>21</v>
      </c>
      <c r="E12" s="31">
        <v>806.03</v>
      </c>
      <c r="F12" s="30">
        <v>19</v>
      </c>
      <c r="G12" s="32">
        <v>0.05</v>
      </c>
      <c r="H12" s="33">
        <v>45638</v>
      </c>
      <c r="I12" s="34">
        <v>268</v>
      </c>
      <c r="J12" s="30" t="str">
        <f t="shared" si="0"/>
        <v>Dec-2024</v>
      </c>
      <c r="K12" s="35">
        <f t="shared" ca="1" si="1"/>
        <v>46295.551106250001</v>
      </c>
    </row>
    <row r="13" spans="1:27">
      <c r="A13" s="30" t="s">
        <v>31</v>
      </c>
      <c r="B13" s="30" t="s">
        <v>32</v>
      </c>
      <c r="C13" s="30" t="s">
        <v>14</v>
      </c>
      <c r="D13" s="30" t="s">
        <v>41</v>
      </c>
      <c r="E13" s="31">
        <v>827.25</v>
      </c>
      <c r="F13" s="30">
        <v>7</v>
      </c>
      <c r="G13" s="32">
        <v>0.1</v>
      </c>
      <c r="H13" s="33">
        <v>45693</v>
      </c>
      <c r="I13" s="34">
        <v>335.04</v>
      </c>
      <c r="J13" s="30" t="str">
        <f t="shared" si="0"/>
        <v>Feb-2025</v>
      </c>
      <c r="K13" s="35">
        <f t="shared" ca="1" si="1"/>
        <v>46295.551106250001</v>
      </c>
    </row>
    <row r="14" spans="1:27">
      <c r="A14" s="30" t="s">
        <v>31</v>
      </c>
      <c r="B14" s="30" t="s">
        <v>20</v>
      </c>
      <c r="C14" s="30" t="s">
        <v>26</v>
      </c>
      <c r="D14" s="30" t="s">
        <v>41</v>
      </c>
      <c r="E14" s="31">
        <v>1618.22</v>
      </c>
      <c r="F14" s="30">
        <v>12</v>
      </c>
      <c r="G14" s="32">
        <v>0.2</v>
      </c>
      <c r="H14" s="33">
        <v>45712</v>
      </c>
      <c r="I14" s="34">
        <v>582.55999999999995</v>
      </c>
      <c r="J14" s="30" t="str">
        <f t="shared" si="0"/>
        <v>Feb-2025</v>
      </c>
      <c r="K14" s="35">
        <f t="shared" ca="1" si="1"/>
        <v>46295.551106250001</v>
      </c>
    </row>
    <row r="15" spans="1:27">
      <c r="A15" s="30" t="s">
        <v>42</v>
      </c>
      <c r="B15" s="30" t="s">
        <v>43</v>
      </c>
      <c r="C15" s="30" t="s">
        <v>23</v>
      </c>
      <c r="D15" s="30" t="s">
        <v>18</v>
      </c>
      <c r="E15" s="31">
        <v>1248.82</v>
      </c>
      <c r="F15" s="30">
        <v>2</v>
      </c>
      <c r="G15" s="32">
        <v>0.1</v>
      </c>
      <c r="H15" s="33">
        <v>45473</v>
      </c>
      <c r="I15" s="34">
        <v>449.58</v>
      </c>
      <c r="J15" s="30" t="str">
        <f t="shared" si="0"/>
        <v>Jun-2024</v>
      </c>
      <c r="K15" s="35">
        <f t="shared" ca="1" si="1"/>
        <v>46295.551106250001</v>
      </c>
    </row>
    <row r="16" spans="1:27">
      <c r="A16" s="30" t="s">
        <v>42</v>
      </c>
      <c r="B16" s="30" t="s">
        <v>44</v>
      </c>
      <c r="C16" s="30" t="s">
        <v>14</v>
      </c>
      <c r="D16" s="30" t="s">
        <v>15</v>
      </c>
      <c r="E16" s="31">
        <v>1005.53</v>
      </c>
      <c r="F16" s="30">
        <v>17</v>
      </c>
      <c r="G16" s="32">
        <v>0.2</v>
      </c>
      <c r="H16" s="33">
        <v>45481</v>
      </c>
      <c r="I16" s="34">
        <v>201.11</v>
      </c>
      <c r="J16" s="30" t="str">
        <f t="shared" si="0"/>
        <v>Jul-2024</v>
      </c>
      <c r="K16" s="35">
        <f t="shared" ca="1" si="1"/>
        <v>46295.551106250001</v>
      </c>
    </row>
    <row r="17" spans="1:11">
      <c r="A17" s="30" t="s">
        <v>42</v>
      </c>
      <c r="B17" s="30" t="s">
        <v>45</v>
      </c>
      <c r="C17" s="30" t="s">
        <v>23</v>
      </c>
      <c r="D17" s="30" t="s">
        <v>21</v>
      </c>
      <c r="E17" s="31">
        <v>1034.7</v>
      </c>
      <c r="F17" s="30">
        <v>15</v>
      </c>
      <c r="G17" s="32">
        <v>0.15</v>
      </c>
      <c r="H17" s="33">
        <v>45487</v>
      </c>
      <c r="I17" s="34">
        <v>307.82</v>
      </c>
      <c r="J17" s="30" t="str">
        <f t="shared" si="0"/>
        <v>Jul-2024</v>
      </c>
      <c r="K17" s="35">
        <f t="shared" ca="1" si="1"/>
        <v>46295.551106250001</v>
      </c>
    </row>
    <row r="18" spans="1:11">
      <c r="A18" s="30" t="s">
        <v>42</v>
      </c>
      <c r="B18" s="30" t="s">
        <v>44</v>
      </c>
      <c r="C18" s="30" t="s">
        <v>35</v>
      </c>
      <c r="D18" s="30" t="s">
        <v>15</v>
      </c>
      <c r="E18" s="31">
        <v>1335.87</v>
      </c>
      <c r="F18" s="30">
        <v>17</v>
      </c>
      <c r="G18" s="32">
        <v>0</v>
      </c>
      <c r="H18" s="33">
        <v>45544</v>
      </c>
      <c r="I18" s="34">
        <v>333.97</v>
      </c>
      <c r="J18" s="30" t="str">
        <f t="shared" si="0"/>
        <v>Sep-2024</v>
      </c>
      <c r="K18" s="35">
        <f t="shared" ca="1" si="1"/>
        <v>46295.551106250001</v>
      </c>
    </row>
    <row r="19" spans="1:11">
      <c r="A19" s="30" t="s">
        <v>42</v>
      </c>
      <c r="B19" s="30" t="s">
        <v>45</v>
      </c>
      <c r="C19" s="30" t="s">
        <v>14</v>
      </c>
      <c r="D19" s="30" t="s">
        <v>15</v>
      </c>
      <c r="E19" s="31">
        <v>1158.94</v>
      </c>
      <c r="F19" s="30">
        <v>19</v>
      </c>
      <c r="G19" s="32">
        <v>0.2</v>
      </c>
      <c r="H19" s="33">
        <v>45553</v>
      </c>
      <c r="I19" s="34">
        <v>231.79</v>
      </c>
      <c r="J19" s="30" t="str">
        <f t="shared" si="0"/>
        <v>Sep-2024</v>
      </c>
      <c r="K19" s="35">
        <f t="shared" ca="1" si="1"/>
        <v>46295.551106250001</v>
      </c>
    </row>
    <row r="20" spans="1:11">
      <c r="A20" s="30" t="s">
        <v>42</v>
      </c>
      <c r="B20" s="30" t="s">
        <v>45</v>
      </c>
      <c r="C20" s="30" t="s">
        <v>26</v>
      </c>
      <c r="D20" s="30" t="s">
        <v>29</v>
      </c>
      <c r="E20" s="31">
        <v>902.19</v>
      </c>
      <c r="F20" s="30">
        <v>12</v>
      </c>
      <c r="G20" s="32">
        <v>0</v>
      </c>
      <c r="H20" s="33">
        <v>45564</v>
      </c>
      <c r="I20" s="34">
        <v>451.1</v>
      </c>
      <c r="J20" s="30" t="str">
        <f t="shared" si="0"/>
        <v>Sep-2024</v>
      </c>
      <c r="K20" s="35">
        <f t="shared" ca="1" si="1"/>
        <v>46295.551106250001</v>
      </c>
    </row>
    <row r="21" spans="1:11">
      <c r="A21" s="30" t="s">
        <v>42</v>
      </c>
      <c r="B21" s="30" t="s">
        <v>46</v>
      </c>
      <c r="C21" s="30" t="s">
        <v>23</v>
      </c>
      <c r="D21" s="30" t="s">
        <v>29</v>
      </c>
      <c r="E21" s="31">
        <v>661.09</v>
      </c>
      <c r="F21" s="30">
        <v>1</v>
      </c>
      <c r="G21" s="32">
        <v>0.2</v>
      </c>
      <c r="H21" s="33">
        <v>45593</v>
      </c>
      <c r="I21" s="34">
        <v>264.44</v>
      </c>
      <c r="J21" s="30" t="str">
        <f t="shared" si="0"/>
        <v>Oct-2024</v>
      </c>
      <c r="K21" s="35">
        <f t="shared" ca="1" si="1"/>
        <v>46295.551106250001</v>
      </c>
    </row>
    <row r="22" spans="1:11">
      <c r="A22" s="30" t="s">
        <v>42</v>
      </c>
      <c r="B22" s="30" t="s">
        <v>24</v>
      </c>
      <c r="C22" s="30" t="s">
        <v>35</v>
      </c>
      <c r="D22" s="30" t="s">
        <v>18</v>
      </c>
      <c r="E22" s="31">
        <v>704.28</v>
      </c>
      <c r="F22" s="30">
        <v>15</v>
      </c>
      <c r="G22" s="32">
        <v>0.2</v>
      </c>
      <c r="H22" s="33">
        <v>45712</v>
      </c>
      <c r="I22" s="34">
        <v>225.37</v>
      </c>
      <c r="J22" s="30" t="str">
        <f t="shared" si="0"/>
        <v>Feb-2025</v>
      </c>
      <c r="K22" s="35">
        <f t="shared" ca="1" si="1"/>
        <v>46295.551106250001</v>
      </c>
    </row>
    <row r="23" spans="1:11">
      <c r="A23" s="30" t="s">
        <v>42</v>
      </c>
      <c r="B23" s="30" t="s">
        <v>43</v>
      </c>
      <c r="C23" s="30" t="s">
        <v>38</v>
      </c>
      <c r="D23" s="30" t="s">
        <v>41</v>
      </c>
      <c r="E23" s="31">
        <v>438.76</v>
      </c>
      <c r="F23" s="30">
        <v>18</v>
      </c>
      <c r="G23" s="32">
        <v>0.05</v>
      </c>
      <c r="H23" s="33">
        <v>45726</v>
      </c>
      <c r="I23" s="34">
        <v>187.57</v>
      </c>
      <c r="J23" s="30" t="str">
        <f t="shared" si="0"/>
        <v>Mar-2025</v>
      </c>
      <c r="K23" s="35">
        <f t="shared" ca="1" si="1"/>
        <v>46295.551106250001</v>
      </c>
    </row>
    <row r="24" spans="1:11">
      <c r="A24" s="30" t="s">
        <v>47</v>
      </c>
      <c r="B24" s="30" t="s">
        <v>17</v>
      </c>
      <c r="C24" s="30" t="s">
        <v>23</v>
      </c>
      <c r="D24" s="30" t="s">
        <v>21</v>
      </c>
      <c r="E24" s="31">
        <v>518.07000000000005</v>
      </c>
      <c r="F24" s="30">
        <v>7</v>
      </c>
      <c r="G24" s="32">
        <v>0.05</v>
      </c>
      <c r="H24" s="33">
        <v>45522</v>
      </c>
      <c r="I24" s="34">
        <v>172.26</v>
      </c>
      <c r="J24" s="30" t="str">
        <f t="shared" si="0"/>
        <v>Aug-2024</v>
      </c>
      <c r="K24" s="35">
        <f t="shared" ca="1" si="1"/>
        <v>46295.551106250001</v>
      </c>
    </row>
    <row r="25" spans="1:11">
      <c r="A25" s="30" t="s">
        <v>47</v>
      </c>
      <c r="B25" s="30" t="s">
        <v>48</v>
      </c>
      <c r="C25" s="30" t="s">
        <v>14</v>
      </c>
      <c r="D25" s="30" t="s">
        <v>41</v>
      </c>
      <c r="E25" s="31">
        <v>1443.98</v>
      </c>
      <c r="F25" s="30">
        <v>19</v>
      </c>
      <c r="G25" s="32">
        <v>0</v>
      </c>
      <c r="H25" s="33">
        <v>45547</v>
      </c>
      <c r="I25" s="34">
        <v>649.79</v>
      </c>
      <c r="J25" s="30" t="str">
        <f t="shared" si="0"/>
        <v>Sep-2024</v>
      </c>
      <c r="K25" s="35">
        <f t="shared" ca="1" si="1"/>
        <v>46295.551106250001</v>
      </c>
    </row>
    <row r="26" spans="1:11">
      <c r="A26" s="30" t="s">
        <v>47</v>
      </c>
      <c r="B26" s="30" t="s">
        <v>49</v>
      </c>
      <c r="C26" s="30" t="s">
        <v>26</v>
      </c>
      <c r="D26" s="30" t="s">
        <v>29</v>
      </c>
      <c r="E26" s="31">
        <v>1277.8499999999999</v>
      </c>
      <c r="F26" s="30">
        <v>18</v>
      </c>
      <c r="G26" s="32">
        <v>0.2</v>
      </c>
      <c r="H26" s="33">
        <v>45613</v>
      </c>
      <c r="I26" s="34">
        <v>511.14</v>
      </c>
      <c r="J26" s="30" t="str">
        <f t="shared" si="0"/>
        <v>Nov-2024</v>
      </c>
      <c r="K26" s="35">
        <f t="shared" ca="1" si="1"/>
        <v>46295.551106250001</v>
      </c>
    </row>
    <row r="27" spans="1:11">
      <c r="A27" s="30" t="s">
        <v>47</v>
      </c>
      <c r="B27" s="30" t="s">
        <v>34</v>
      </c>
      <c r="C27" s="30" t="s">
        <v>23</v>
      </c>
      <c r="D27" s="30" t="s">
        <v>29</v>
      </c>
      <c r="E27" s="31">
        <v>1589.42</v>
      </c>
      <c r="F27" s="30">
        <v>6</v>
      </c>
      <c r="G27" s="32">
        <v>0.15</v>
      </c>
      <c r="H27" s="33">
        <v>45651</v>
      </c>
      <c r="I27" s="34">
        <v>675.5</v>
      </c>
      <c r="J27" s="30" t="str">
        <f t="shared" si="0"/>
        <v>Dec-2024</v>
      </c>
      <c r="K27" s="35">
        <f t="shared" ca="1" si="1"/>
        <v>46295.551106250001</v>
      </c>
    </row>
    <row r="28" spans="1:11">
      <c r="A28" s="30" t="s">
        <v>47</v>
      </c>
      <c r="B28" s="30" t="s">
        <v>44</v>
      </c>
      <c r="C28" s="30" t="s">
        <v>38</v>
      </c>
      <c r="D28" s="30" t="s">
        <v>41</v>
      </c>
      <c r="E28" s="31">
        <v>1311.26</v>
      </c>
      <c r="F28" s="30">
        <v>6</v>
      </c>
      <c r="G28" s="32">
        <v>0.1</v>
      </c>
      <c r="H28" s="33">
        <v>45698</v>
      </c>
      <c r="I28" s="34">
        <v>531.05999999999995</v>
      </c>
      <c r="J28" s="30" t="str">
        <f t="shared" si="0"/>
        <v>Feb-2025</v>
      </c>
      <c r="K28" s="35">
        <f t="shared" ca="1" si="1"/>
        <v>46295.551106250001</v>
      </c>
    </row>
    <row r="29" spans="1:11">
      <c r="A29" s="30" t="s">
        <v>47</v>
      </c>
      <c r="B29" s="30" t="s">
        <v>34</v>
      </c>
      <c r="C29" s="30" t="s">
        <v>35</v>
      </c>
      <c r="D29" s="30" t="s">
        <v>41</v>
      </c>
      <c r="E29" s="31">
        <v>573.32000000000005</v>
      </c>
      <c r="F29" s="30">
        <v>19</v>
      </c>
      <c r="G29" s="32">
        <v>0.1</v>
      </c>
      <c r="H29" s="33">
        <v>45703</v>
      </c>
      <c r="I29" s="34">
        <v>232.19</v>
      </c>
      <c r="J29" s="30" t="str">
        <f t="shared" si="0"/>
        <v>Feb-2025</v>
      </c>
      <c r="K29" s="35">
        <f t="shared" ca="1" si="1"/>
        <v>46295.551106250001</v>
      </c>
    </row>
    <row r="30" spans="1:11">
      <c r="A30" s="30" t="s">
        <v>47</v>
      </c>
      <c r="B30" s="30" t="s">
        <v>13</v>
      </c>
      <c r="C30" s="30" t="s">
        <v>38</v>
      </c>
      <c r="D30" s="30" t="s">
        <v>18</v>
      </c>
      <c r="E30" s="31">
        <v>1099.69</v>
      </c>
      <c r="F30" s="30">
        <v>6</v>
      </c>
      <c r="G30" s="32">
        <v>0</v>
      </c>
      <c r="H30" s="33">
        <v>45718</v>
      </c>
      <c r="I30" s="34">
        <v>439.88</v>
      </c>
      <c r="J30" s="30" t="str">
        <f t="shared" si="0"/>
        <v>Mar-2025</v>
      </c>
      <c r="K30" s="35">
        <f t="shared" ca="1" si="1"/>
        <v>46295.551106250001</v>
      </c>
    </row>
    <row r="31" spans="1:11">
      <c r="A31" s="30" t="s">
        <v>50</v>
      </c>
      <c r="B31" s="30" t="s">
        <v>51</v>
      </c>
      <c r="C31" s="30" t="s">
        <v>35</v>
      </c>
      <c r="D31" s="30" t="s">
        <v>15</v>
      </c>
      <c r="E31" s="31">
        <v>760.93</v>
      </c>
      <c r="F31" s="30">
        <v>4</v>
      </c>
      <c r="G31" s="32">
        <v>0.15</v>
      </c>
      <c r="H31" s="33">
        <v>45396</v>
      </c>
      <c r="I31" s="34">
        <v>161.69999999999999</v>
      </c>
      <c r="J31" s="30" t="str">
        <f t="shared" si="0"/>
        <v>Apr-2024</v>
      </c>
      <c r="K31" s="35">
        <f t="shared" ca="1" si="1"/>
        <v>46295.551106250001</v>
      </c>
    </row>
    <row r="32" spans="1:11">
      <c r="A32" s="30" t="s">
        <v>50</v>
      </c>
      <c r="B32" s="30" t="s">
        <v>24</v>
      </c>
      <c r="C32" s="30" t="s">
        <v>35</v>
      </c>
      <c r="D32" s="30" t="s">
        <v>15</v>
      </c>
      <c r="E32" s="31">
        <v>1502.93</v>
      </c>
      <c r="F32" s="30">
        <v>14</v>
      </c>
      <c r="G32" s="32">
        <v>0.2</v>
      </c>
      <c r="H32" s="33">
        <v>45410</v>
      </c>
      <c r="I32" s="34">
        <v>300.58999999999997</v>
      </c>
      <c r="J32" s="30" t="str">
        <f t="shared" si="0"/>
        <v>Apr-2024</v>
      </c>
      <c r="K32" s="35">
        <f t="shared" ca="1" si="1"/>
        <v>46295.551106250001</v>
      </c>
    </row>
    <row r="33" spans="1:11">
      <c r="A33" s="30" t="s">
        <v>50</v>
      </c>
      <c r="B33" s="30" t="s">
        <v>52</v>
      </c>
      <c r="C33" s="30" t="s">
        <v>35</v>
      </c>
      <c r="D33" s="30" t="s">
        <v>18</v>
      </c>
      <c r="E33" s="31">
        <v>1151.21</v>
      </c>
      <c r="F33" s="30">
        <v>15</v>
      </c>
      <c r="G33" s="32">
        <v>0.1</v>
      </c>
      <c r="H33" s="33">
        <v>45445</v>
      </c>
      <c r="I33" s="34">
        <v>414.44</v>
      </c>
      <c r="J33" s="30" t="str">
        <f t="shared" si="0"/>
        <v>Jun-2024</v>
      </c>
      <c r="K33" s="35">
        <f t="shared" ca="1" si="1"/>
        <v>46295.551106250001</v>
      </c>
    </row>
    <row r="34" spans="1:11">
      <c r="A34" s="30" t="s">
        <v>50</v>
      </c>
      <c r="B34" s="30" t="s">
        <v>51</v>
      </c>
      <c r="C34" s="30" t="s">
        <v>35</v>
      </c>
      <c r="D34" s="30" t="s">
        <v>21</v>
      </c>
      <c r="E34" s="31">
        <v>919.04</v>
      </c>
      <c r="F34" s="30">
        <v>10</v>
      </c>
      <c r="G34" s="32">
        <v>0.2</v>
      </c>
      <c r="H34" s="33">
        <v>45468</v>
      </c>
      <c r="I34" s="34">
        <v>257.33</v>
      </c>
      <c r="J34" s="30" t="str">
        <f t="shared" ref="J34:J65" si="2">TEXT(H34,"mmm-yyyy")</f>
        <v>Jun-2024</v>
      </c>
      <c r="K34" s="35">
        <f t="shared" ref="K34:K65" ca="1" si="3">NOW()</f>
        <v>46295.551106250001</v>
      </c>
    </row>
    <row r="35" spans="1:11">
      <c r="A35" s="30" t="s">
        <v>50</v>
      </c>
      <c r="B35" s="30" t="s">
        <v>53</v>
      </c>
      <c r="C35" s="30" t="s">
        <v>26</v>
      </c>
      <c r="D35" s="30" t="s">
        <v>21</v>
      </c>
      <c r="E35" s="31">
        <v>1261.3399999999999</v>
      </c>
      <c r="F35" s="30">
        <v>3</v>
      </c>
      <c r="G35" s="32">
        <v>0</v>
      </c>
      <c r="H35" s="33">
        <v>45519</v>
      </c>
      <c r="I35" s="34">
        <v>441.47</v>
      </c>
      <c r="J35" s="30" t="str">
        <f t="shared" si="2"/>
        <v>Aug-2024</v>
      </c>
      <c r="K35" s="35">
        <f t="shared" ca="1" si="3"/>
        <v>46295.551106250001</v>
      </c>
    </row>
    <row r="36" spans="1:11">
      <c r="A36" s="30" t="s">
        <v>50</v>
      </c>
      <c r="B36" s="30" t="s">
        <v>32</v>
      </c>
      <c r="C36" s="30" t="s">
        <v>26</v>
      </c>
      <c r="D36" s="30" t="s">
        <v>18</v>
      </c>
      <c r="E36" s="31">
        <v>1070.68</v>
      </c>
      <c r="F36" s="30">
        <v>7</v>
      </c>
      <c r="G36" s="32">
        <v>0.05</v>
      </c>
      <c r="H36" s="33">
        <v>45536</v>
      </c>
      <c r="I36" s="34">
        <v>406.86</v>
      </c>
      <c r="J36" s="30" t="str">
        <f t="shared" si="2"/>
        <v>Sep-2024</v>
      </c>
      <c r="K36" s="35">
        <f t="shared" ca="1" si="3"/>
        <v>46295.551106250001</v>
      </c>
    </row>
    <row r="37" spans="1:11">
      <c r="A37" s="30" t="s">
        <v>54</v>
      </c>
      <c r="B37" s="30" t="s">
        <v>20</v>
      </c>
      <c r="C37" s="30" t="s">
        <v>14</v>
      </c>
      <c r="D37" s="30" t="s">
        <v>18</v>
      </c>
      <c r="E37" s="31">
        <v>1506.14</v>
      </c>
      <c r="F37" s="30">
        <v>13</v>
      </c>
      <c r="G37" s="32">
        <v>0.2</v>
      </c>
      <c r="H37" s="33">
        <v>45412</v>
      </c>
      <c r="I37" s="34">
        <v>481.96</v>
      </c>
      <c r="J37" s="30" t="str">
        <f t="shared" si="2"/>
        <v>Apr-2024</v>
      </c>
      <c r="K37" s="35">
        <f t="shared" ca="1" si="3"/>
        <v>46295.551106250001</v>
      </c>
    </row>
    <row r="38" spans="1:11">
      <c r="A38" s="30" t="s">
        <v>54</v>
      </c>
      <c r="B38" s="30" t="s">
        <v>28</v>
      </c>
      <c r="C38" s="30" t="s">
        <v>14</v>
      </c>
      <c r="D38" s="30" t="s">
        <v>21</v>
      </c>
      <c r="E38" s="31">
        <v>1193.6099999999999</v>
      </c>
      <c r="F38" s="30">
        <v>1</v>
      </c>
      <c r="G38" s="32">
        <v>0.15</v>
      </c>
      <c r="H38" s="33">
        <v>45584</v>
      </c>
      <c r="I38" s="34">
        <v>355.1</v>
      </c>
      <c r="J38" s="30" t="str">
        <f t="shared" si="2"/>
        <v>Oct-2024</v>
      </c>
      <c r="K38" s="35">
        <f t="shared" ca="1" si="3"/>
        <v>46295.551106250001</v>
      </c>
    </row>
    <row r="39" spans="1:11">
      <c r="A39" s="30" t="s">
        <v>55</v>
      </c>
      <c r="B39" s="30" t="s">
        <v>25</v>
      </c>
      <c r="C39" s="30" t="s">
        <v>23</v>
      </c>
      <c r="D39" s="30" t="s">
        <v>21</v>
      </c>
      <c r="E39" s="31">
        <v>965.64</v>
      </c>
      <c r="F39" s="30">
        <v>8</v>
      </c>
      <c r="G39" s="32">
        <v>0.1</v>
      </c>
      <c r="H39" s="33">
        <v>45398</v>
      </c>
      <c r="I39" s="34">
        <v>304.18</v>
      </c>
      <c r="J39" s="30" t="str">
        <f t="shared" si="2"/>
        <v>Apr-2024</v>
      </c>
      <c r="K39" s="35">
        <f t="shared" ca="1" si="3"/>
        <v>46295.551106250001</v>
      </c>
    </row>
    <row r="40" spans="1:11">
      <c r="A40" s="30" t="s">
        <v>55</v>
      </c>
      <c r="B40" s="30" t="s">
        <v>25</v>
      </c>
      <c r="C40" s="30" t="s">
        <v>26</v>
      </c>
      <c r="D40" s="30" t="s">
        <v>18</v>
      </c>
      <c r="E40" s="31">
        <v>1191.58</v>
      </c>
      <c r="F40" s="30">
        <v>14</v>
      </c>
      <c r="G40" s="32">
        <v>0.05</v>
      </c>
      <c r="H40" s="33">
        <v>45406</v>
      </c>
      <c r="I40" s="34">
        <v>452.8</v>
      </c>
      <c r="J40" s="30" t="str">
        <f t="shared" si="2"/>
        <v>Apr-2024</v>
      </c>
      <c r="K40" s="35">
        <f t="shared" ca="1" si="3"/>
        <v>46295.551106250001</v>
      </c>
    </row>
    <row r="41" spans="1:11">
      <c r="A41" s="30" t="s">
        <v>55</v>
      </c>
      <c r="B41" s="30" t="s">
        <v>32</v>
      </c>
      <c r="C41" s="30" t="s">
        <v>35</v>
      </c>
      <c r="D41" s="30" t="s">
        <v>29</v>
      </c>
      <c r="E41" s="31">
        <v>953.3</v>
      </c>
      <c r="F41" s="30">
        <v>11</v>
      </c>
      <c r="G41" s="32">
        <v>0</v>
      </c>
      <c r="H41" s="33">
        <v>45415</v>
      </c>
      <c r="I41" s="34">
        <v>476.65</v>
      </c>
      <c r="J41" s="30" t="str">
        <f t="shared" si="2"/>
        <v>May-2024</v>
      </c>
      <c r="K41" s="35">
        <f t="shared" ca="1" si="3"/>
        <v>46295.551106250001</v>
      </c>
    </row>
    <row r="42" spans="1:11">
      <c r="A42" s="30" t="s">
        <v>55</v>
      </c>
      <c r="B42" s="30" t="s">
        <v>51</v>
      </c>
      <c r="C42" s="30" t="s">
        <v>26</v>
      </c>
      <c r="D42" s="30" t="s">
        <v>18</v>
      </c>
      <c r="E42" s="31">
        <v>939.09</v>
      </c>
      <c r="F42" s="30">
        <v>2</v>
      </c>
      <c r="G42" s="32">
        <v>0.05</v>
      </c>
      <c r="H42" s="33">
        <v>45422</v>
      </c>
      <c r="I42" s="34">
        <v>356.85</v>
      </c>
      <c r="J42" s="30" t="str">
        <f t="shared" si="2"/>
        <v>May-2024</v>
      </c>
      <c r="K42" s="35">
        <f t="shared" ca="1" si="3"/>
        <v>46295.551106250001</v>
      </c>
    </row>
    <row r="43" spans="1:11">
      <c r="A43" s="30" t="s">
        <v>55</v>
      </c>
      <c r="B43" s="30" t="s">
        <v>56</v>
      </c>
      <c r="C43" s="30" t="s">
        <v>35</v>
      </c>
      <c r="D43" s="30" t="s">
        <v>15</v>
      </c>
      <c r="E43" s="31">
        <v>1021.47</v>
      </c>
      <c r="F43" s="30">
        <v>6</v>
      </c>
      <c r="G43" s="32">
        <v>0.05</v>
      </c>
      <c r="H43" s="33">
        <v>45461</v>
      </c>
      <c r="I43" s="34">
        <v>242.6</v>
      </c>
      <c r="J43" s="30" t="str">
        <f t="shared" si="2"/>
        <v>Jun-2024</v>
      </c>
      <c r="K43" s="35">
        <f t="shared" ca="1" si="3"/>
        <v>46295.551106250001</v>
      </c>
    </row>
    <row r="44" spans="1:11">
      <c r="A44" s="30" t="s">
        <v>55</v>
      </c>
      <c r="B44" s="30" t="s">
        <v>57</v>
      </c>
      <c r="C44" s="30" t="s">
        <v>23</v>
      </c>
      <c r="D44" s="30" t="s">
        <v>18</v>
      </c>
      <c r="E44" s="31">
        <v>679.71</v>
      </c>
      <c r="F44" s="30">
        <v>19</v>
      </c>
      <c r="G44" s="32">
        <v>0</v>
      </c>
      <c r="H44" s="33">
        <v>45534</v>
      </c>
      <c r="I44" s="34">
        <v>271.88</v>
      </c>
      <c r="J44" s="30" t="str">
        <f t="shared" si="2"/>
        <v>Aug-2024</v>
      </c>
      <c r="K44" s="35">
        <f t="shared" ca="1" si="3"/>
        <v>46295.551106250001</v>
      </c>
    </row>
    <row r="45" spans="1:11">
      <c r="A45" s="30" t="s">
        <v>55</v>
      </c>
      <c r="B45" s="30" t="s">
        <v>58</v>
      </c>
      <c r="C45" s="30" t="s">
        <v>14</v>
      </c>
      <c r="D45" s="30" t="s">
        <v>21</v>
      </c>
      <c r="E45" s="31">
        <v>1101.55</v>
      </c>
      <c r="F45" s="30">
        <v>4</v>
      </c>
      <c r="G45" s="32">
        <v>0.1</v>
      </c>
      <c r="H45" s="33">
        <v>45551</v>
      </c>
      <c r="I45" s="34">
        <v>346.99</v>
      </c>
      <c r="J45" s="30" t="str">
        <f t="shared" si="2"/>
        <v>Sep-2024</v>
      </c>
      <c r="K45" s="35">
        <f t="shared" ca="1" si="3"/>
        <v>46295.551106250001</v>
      </c>
    </row>
    <row r="46" spans="1:11">
      <c r="A46" s="30" t="s">
        <v>55</v>
      </c>
      <c r="B46" s="30" t="s">
        <v>43</v>
      </c>
      <c r="C46" s="30" t="s">
        <v>23</v>
      </c>
      <c r="D46" s="30" t="s">
        <v>41</v>
      </c>
      <c r="E46" s="31">
        <v>833.91</v>
      </c>
      <c r="F46" s="30">
        <v>3</v>
      </c>
      <c r="G46" s="32">
        <v>0.05</v>
      </c>
      <c r="H46" s="33">
        <v>45626</v>
      </c>
      <c r="I46" s="34">
        <v>356.5</v>
      </c>
      <c r="J46" s="30" t="str">
        <f t="shared" si="2"/>
        <v>Nov-2024</v>
      </c>
      <c r="K46" s="35">
        <f t="shared" ca="1" si="3"/>
        <v>46295.551106250001</v>
      </c>
    </row>
    <row r="47" spans="1:11">
      <c r="A47" s="30" t="s">
        <v>55</v>
      </c>
      <c r="B47" s="30" t="s">
        <v>57</v>
      </c>
      <c r="C47" s="30" t="s">
        <v>14</v>
      </c>
      <c r="D47" s="30" t="s">
        <v>29</v>
      </c>
      <c r="E47" s="31">
        <v>1493.49</v>
      </c>
      <c r="F47" s="30">
        <v>18</v>
      </c>
      <c r="G47" s="32">
        <v>0</v>
      </c>
      <c r="H47" s="33">
        <v>45734</v>
      </c>
      <c r="I47" s="34">
        <v>746.74</v>
      </c>
      <c r="J47" s="30" t="str">
        <f t="shared" si="2"/>
        <v>Mar-2025</v>
      </c>
      <c r="K47" s="35">
        <f t="shared" ca="1" si="3"/>
        <v>46295.551106250001</v>
      </c>
    </row>
    <row r="48" spans="1:11">
      <c r="A48" s="30" t="s">
        <v>55</v>
      </c>
      <c r="B48" s="30" t="s">
        <v>44</v>
      </c>
      <c r="C48" s="30" t="s">
        <v>35</v>
      </c>
      <c r="D48" s="30" t="s">
        <v>29</v>
      </c>
      <c r="E48" s="31">
        <v>762.14</v>
      </c>
      <c r="F48" s="30">
        <v>9</v>
      </c>
      <c r="G48" s="32">
        <v>0</v>
      </c>
      <c r="H48" s="33">
        <v>45743</v>
      </c>
      <c r="I48" s="34">
        <v>381.07</v>
      </c>
      <c r="J48" s="30" t="str">
        <f t="shared" si="2"/>
        <v>Mar-2025</v>
      </c>
      <c r="K48" s="35">
        <f t="shared" ca="1" si="3"/>
        <v>46295.551106250001</v>
      </c>
    </row>
    <row r="49" spans="1:11">
      <c r="A49" s="30" t="s">
        <v>59</v>
      </c>
      <c r="B49" s="30" t="s">
        <v>51</v>
      </c>
      <c r="C49" s="30" t="s">
        <v>35</v>
      </c>
      <c r="D49" s="30" t="s">
        <v>18</v>
      </c>
      <c r="E49" s="31">
        <v>877.58</v>
      </c>
      <c r="F49" s="30">
        <v>10</v>
      </c>
      <c r="G49" s="32">
        <v>0.15</v>
      </c>
      <c r="H49" s="33">
        <v>45411</v>
      </c>
      <c r="I49" s="34">
        <v>298.38</v>
      </c>
      <c r="J49" s="30" t="str">
        <f t="shared" si="2"/>
        <v>Apr-2024</v>
      </c>
      <c r="K49" s="35">
        <f t="shared" ca="1" si="3"/>
        <v>46295.551106250001</v>
      </c>
    </row>
    <row r="50" spans="1:11">
      <c r="A50" s="30" t="s">
        <v>59</v>
      </c>
      <c r="B50" s="30" t="s">
        <v>60</v>
      </c>
      <c r="C50" s="30" t="s">
        <v>26</v>
      </c>
      <c r="D50" s="30" t="s">
        <v>21</v>
      </c>
      <c r="E50" s="31">
        <v>773.09</v>
      </c>
      <c r="F50" s="30">
        <v>13</v>
      </c>
      <c r="G50" s="32">
        <v>0.15</v>
      </c>
      <c r="H50" s="33">
        <v>45434</v>
      </c>
      <c r="I50" s="34">
        <v>229.99</v>
      </c>
      <c r="J50" s="30" t="str">
        <f t="shared" si="2"/>
        <v>May-2024</v>
      </c>
      <c r="K50" s="35">
        <f t="shared" ca="1" si="3"/>
        <v>46295.551106250001</v>
      </c>
    </row>
    <row r="51" spans="1:11">
      <c r="A51" s="30" t="s">
        <v>59</v>
      </c>
      <c r="B51" s="30" t="s">
        <v>61</v>
      </c>
      <c r="C51" s="30" t="s">
        <v>35</v>
      </c>
      <c r="D51" s="30" t="s">
        <v>15</v>
      </c>
      <c r="E51" s="31">
        <v>775.45</v>
      </c>
      <c r="F51" s="30">
        <v>6</v>
      </c>
      <c r="G51" s="32">
        <v>0.1</v>
      </c>
      <c r="H51" s="33">
        <v>45457</v>
      </c>
      <c r="I51" s="34">
        <v>174.48</v>
      </c>
      <c r="J51" s="30" t="str">
        <f t="shared" si="2"/>
        <v>Jun-2024</v>
      </c>
      <c r="K51" s="35">
        <f t="shared" ca="1" si="3"/>
        <v>46295.551106250001</v>
      </c>
    </row>
    <row r="52" spans="1:11">
      <c r="A52" s="30" t="s">
        <v>59</v>
      </c>
      <c r="B52" s="30" t="s">
        <v>44</v>
      </c>
      <c r="C52" s="30" t="s">
        <v>26</v>
      </c>
      <c r="D52" s="30" t="s">
        <v>41</v>
      </c>
      <c r="E52" s="31">
        <v>804.81</v>
      </c>
      <c r="F52" s="30">
        <v>1</v>
      </c>
      <c r="G52" s="32">
        <v>0.05</v>
      </c>
      <c r="H52" s="33">
        <v>45502</v>
      </c>
      <c r="I52" s="34">
        <v>344.06</v>
      </c>
      <c r="J52" s="30" t="str">
        <f t="shared" si="2"/>
        <v>Jul-2024</v>
      </c>
      <c r="K52" s="35">
        <f t="shared" ca="1" si="3"/>
        <v>46295.551106250001</v>
      </c>
    </row>
    <row r="53" spans="1:11">
      <c r="A53" s="30" t="s">
        <v>59</v>
      </c>
      <c r="B53" s="30" t="s">
        <v>62</v>
      </c>
      <c r="C53" s="30" t="s">
        <v>26</v>
      </c>
      <c r="D53" s="30" t="s">
        <v>15</v>
      </c>
      <c r="E53" s="31">
        <v>1014.09</v>
      </c>
      <c r="F53" s="30">
        <v>13</v>
      </c>
      <c r="G53" s="32">
        <v>0.2</v>
      </c>
      <c r="H53" s="33">
        <v>45567</v>
      </c>
      <c r="I53" s="34">
        <v>202.82</v>
      </c>
      <c r="J53" s="30" t="str">
        <f t="shared" si="2"/>
        <v>Oct-2024</v>
      </c>
      <c r="K53" s="35">
        <f t="shared" ca="1" si="3"/>
        <v>46295.551106250001</v>
      </c>
    </row>
    <row r="54" spans="1:11">
      <c r="A54" s="30" t="s">
        <v>59</v>
      </c>
      <c r="B54" s="30" t="s">
        <v>45</v>
      </c>
      <c r="C54" s="30" t="s">
        <v>38</v>
      </c>
      <c r="D54" s="30" t="s">
        <v>18</v>
      </c>
      <c r="E54" s="31">
        <v>1081.1400000000001</v>
      </c>
      <c r="F54" s="30">
        <v>19</v>
      </c>
      <c r="G54" s="32">
        <v>0.15</v>
      </c>
      <c r="H54" s="33">
        <v>45577</v>
      </c>
      <c r="I54" s="34">
        <v>367.59</v>
      </c>
      <c r="J54" s="30" t="str">
        <f t="shared" si="2"/>
        <v>Oct-2024</v>
      </c>
      <c r="K54" s="35">
        <f t="shared" ca="1" si="3"/>
        <v>46295.551106250001</v>
      </c>
    </row>
    <row r="55" spans="1:11">
      <c r="A55" s="30" t="s">
        <v>59</v>
      </c>
      <c r="B55" s="30" t="s">
        <v>45</v>
      </c>
      <c r="C55" s="30" t="s">
        <v>38</v>
      </c>
      <c r="D55" s="30" t="s">
        <v>41</v>
      </c>
      <c r="E55" s="31">
        <v>1014.22</v>
      </c>
      <c r="F55" s="30">
        <v>14</v>
      </c>
      <c r="G55" s="32">
        <v>0.05</v>
      </c>
      <c r="H55" s="33">
        <v>45599</v>
      </c>
      <c r="I55" s="34">
        <v>433.58</v>
      </c>
      <c r="J55" s="30" t="str">
        <f t="shared" si="2"/>
        <v>Nov-2024</v>
      </c>
      <c r="K55" s="35">
        <f t="shared" ca="1" si="3"/>
        <v>46295.551106250001</v>
      </c>
    </row>
    <row r="56" spans="1:11">
      <c r="A56" s="30" t="s">
        <v>59</v>
      </c>
      <c r="B56" s="30" t="s">
        <v>17</v>
      </c>
      <c r="C56" s="30" t="s">
        <v>26</v>
      </c>
      <c r="D56" s="30" t="s">
        <v>29</v>
      </c>
      <c r="E56" s="31">
        <v>1076.33</v>
      </c>
      <c r="F56" s="30">
        <v>2</v>
      </c>
      <c r="G56" s="32">
        <v>0.1</v>
      </c>
      <c r="H56" s="33">
        <v>45674</v>
      </c>
      <c r="I56" s="34">
        <v>484.35</v>
      </c>
      <c r="J56" s="30" t="str">
        <f t="shared" si="2"/>
        <v>Jan-2025</v>
      </c>
      <c r="K56" s="35">
        <f t="shared" ca="1" si="3"/>
        <v>46295.551106250001</v>
      </c>
    </row>
    <row r="57" spans="1:11">
      <c r="A57" s="30" t="s">
        <v>59</v>
      </c>
      <c r="B57" s="30" t="s">
        <v>34</v>
      </c>
      <c r="C57" s="30" t="s">
        <v>26</v>
      </c>
      <c r="D57" s="30" t="s">
        <v>41</v>
      </c>
      <c r="E57" s="31">
        <v>1250.71</v>
      </c>
      <c r="F57" s="30">
        <v>7</v>
      </c>
      <c r="G57" s="32">
        <v>0</v>
      </c>
      <c r="H57" s="33">
        <v>45674</v>
      </c>
      <c r="I57" s="34">
        <v>562.82000000000005</v>
      </c>
      <c r="J57" s="30" t="str">
        <f t="shared" si="2"/>
        <v>Jan-2025</v>
      </c>
      <c r="K57" s="35">
        <f t="shared" ca="1" si="3"/>
        <v>46295.551106250001</v>
      </c>
    </row>
    <row r="58" spans="1:11">
      <c r="A58" s="30" t="s">
        <v>59</v>
      </c>
      <c r="B58" s="30" t="s">
        <v>40</v>
      </c>
      <c r="C58" s="30" t="s">
        <v>38</v>
      </c>
      <c r="D58" s="30" t="s">
        <v>21</v>
      </c>
      <c r="E58" s="31">
        <v>1093.3800000000001</v>
      </c>
      <c r="F58" s="30">
        <v>17</v>
      </c>
      <c r="G58" s="32">
        <v>0.1</v>
      </c>
      <c r="H58" s="33">
        <v>45745</v>
      </c>
      <c r="I58" s="34">
        <v>344.41</v>
      </c>
      <c r="J58" s="30" t="str">
        <f t="shared" si="2"/>
        <v>Mar-2025</v>
      </c>
      <c r="K58" s="35">
        <f t="shared" ca="1" si="3"/>
        <v>46295.551106250001</v>
      </c>
    </row>
    <row r="59" spans="1:11">
      <c r="A59" s="30" t="s">
        <v>63</v>
      </c>
      <c r="B59" s="30" t="s">
        <v>56</v>
      </c>
      <c r="C59" s="30" t="s">
        <v>26</v>
      </c>
      <c r="D59" s="30" t="s">
        <v>18</v>
      </c>
      <c r="E59" s="31">
        <v>501.54</v>
      </c>
      <c r="F59" s="30">
        <v>11</v>
      </c>
      <c r="G59" s="32">
        <v>0.05</v>
      </c>
      <c r="H59" s="33">
        <v>45401</v>
      </c>
      <c r="I59" s="34">
        <v>190.59</v>
      </c>
      <c r="J59" s="30" t="str">
        <f t="shared" si="2"/>
        <v>Apr-2024</v>
      </c>
      <c r="K59" s="35">
        <f t="shared" ca="1" si="3"/>
        <v>46295.551106250001</v>
      </c>
    </row>
    <row r="60" spans="1:11">
      <c r="A60" s="30" t="s">
        <v>63</v>
      </c>
      <c r="B60" s="30" t="s">
        <v>43</v>
      </c>
      <c r="C60" s="30" t="s">
        <v>23</v>
      </c>
      <c r="D60" s="30" t="s">
        <v>15</v>
      </c>
      <c r="E60" s="31">
        <v>818.8</v>
      </c>
      <c r="F60" s="30">
        <v>15</v>
      </c>
      <c r="G60" s="32">
        <v>0.15</v>
      </c>
      <c r="H60" s="33">
        <v>45468</v>
      </c>
      <c r="I60" s="34">
        <v>173.99</v>
      </c>
      <c r="J60" s="30" t="str">
        <f t="shared" si="2"/>
        <v>Jun-2024</v>
      </c>
      <c r="K60" s="35">
        <f t="shared" ca="1" si="3"/>
        <v>46295.551106250001</v>
      </c>
    </row>
    <row r="61" spans="1:11">
      <c r="A61" s="30" t="s">
        <v>63</v>
      </c>
      <c r="B61" s="30" t="s">
        <v>43</v>
      </c>
      <c r="C61" s="30" t="s">
        <v>35</v>
      </c>
      <c r="D61" s="30" t="s">
        <v>15</v>
      </c>
      <c r="E61" s="31">
        <v>771.02</v>
      </c>
      <c r="F61" s="30">
        <v>1</v>
      </c>
      <c r="G61" s="32">
        <v>0</v>
      </c>
      <c r="H61" s="33">
        <v>45585</v>
      </c>
      <c r="I61" s="34">
        <v>192.76</v>
      </c>
      <c r="J61" s="30" t="str">
        <f t="shared" si="2"/>
        <v>Oct-2024</v>
      </c>
      <c r="K61" s="35">
        <f t="shared" ca="1" si="3"/>
        <v>46295.551106250001</v>
      </c>
    </row>
    <row r="62" spans="1:11">
      <c r="A62" s="30" t="s">
        <v>63</v>
      </c>
      <c r="B62" s="30" t="s">
        <v>40</v>
      </c>
      <c r="C62" s="30" t="s">
        <v>35</v>
      </c>
      <c r="D62" s="30" t="s">
        <v>21</v>
      </c>
      <c r="E62" s="31">
        <v>1350.33</v>
      </c>
      <c r="F62" s="30">
        <v>10</v>
      </c>
      <c r="G62" s="32">
        <v>0</v>
      </c>
      <c r="H62" s="33">
        <v>45615</v>
      </c>
      <c r="I62" s="34">
        <v>472.62</v>
      </c>
      <c r="J62" s="30" t="str">
        <f t="shared" si="2"/>
        <v>Nov-2024</v>
      </c>
      <c r="K62" s="35">
        <f t="shared" ca="1" si="3"/>
        <v>46295.551106250001</v>
      </c>
    </row>
    <row r="63" spans="1:11">
      <c r="A63" s="30" t="s">
        <v>63</v>
      </c>
      <c r="B63" s="30" t="s">
        <v>34</v>
      </c>
      <c r="C63" s="30" t="s">
        <v>23</v>
      </c>
      <c r="D63" s="30" t="s">
        <v>18</v>
      </c>
      <c r="E63" s="31">
        <v>1189.83</v>
      </c>
      <c r="F63" s="30">
        <v>2</v>
      </c>
      <c r="G63" s="32">
        <v>0.2</v>
      </c>
      <c r="H63" s="33">
        <v>45709</v>
      </c>
      <c r="I63" s="34">
        <v>380.75</v>
      </c>
      <c r="J63" s="30" t="str">
        <f t="shared" si="2"/>
        <v>Feb-2025</v>
      </c>
      <c r="K63" s="35">
        <f t="shared" ca="1" si="3"/>
        <v>46295.551106250001</v>
      </c>
    </row>
    <row r="64" spans="1:11">
      <c r="A64" s="30" t="s">
        <v>63</v>
      </c>
      <c r="B64" s="30" t="s">
        <v>53</v>
      </c>
      <c r="C64" s="30" t="s">
        <v>35</v>
      </c>
      <c r="D64" s="30" t="s">
        <v>29</v>
      </c>
      <c r="E64" s="31">
        <v>689.43</v>
      </c>
      <c r="F64" s="30">
        <v>9</v>
      </c>
      <c r="G64" s="32">
        <v>0.1</v>
      </c>
      <c r="H64" s="33">
        <v>45736</v>
      </c>
      <c r="I64" s="34">
        <v>310.24</v>
      </c>
      <c r="J64" s="30" t="str">
        <f t="shared" si="2"/>
        <v>Mar-2025</v>
      </c>
      <c r="K64" s="35">
        <f t="shared" ca="1" si="3"/>
        <v>46295.551106250001</v>
      </c>
    </row>
    <row r="65" spans="1:11">
      <c r="A65" s="30" t="s">
        <v>63</v>
      </c>
      <c r="B65" s="30" t="s">
        <v>25</v>
      </c>
      <c r="C65" s="30" t="s">
        <v>35</v>
      </c>
      <c r="D65" s="30" t="s">
        <v>21</v>
      </c>
      <c r="E65" s="31">
        <v>1184.25</v>
      </c>
      <c r="F65" s="30">
        <v>11</v>
      </c>
      <c r="G65" s="32">
        <v>0.2</v>
      </c>
      <c r="H65" s="33">
        <v>45742</v>
      </c>
      <c r="I65" s="34">
        <v>331.59</v>
      </c>
      <c r="J65" s="30" t="str">
        <f t="shared" si="2"/>
        <v>Mar-2025</v>
      </c>
      <c r="K65" s="35">
        <f t="shared" ca="1" si="3"/>
        <v>46295.551106250001</v>
      </c>
    </row>
    <row r="66" spans="1:11">
      <c r="A66" s="30" t="s">
        <v>64</v>
      </c>
      <c r="B66" s="30" t="s">
        <v>65</v>
      </c>
      <c r="C66" s="30" t="s">
        <v>26</v>
      </c>
      <c r="D66" s="30" t="s">
        <v>29</v>
      </c>
      <c r="E66" s="31">
        <v>737.31</v>
      </c>
      <c r="F66" s="30">
        <v>2</v>
      </c>
      <c r="G66" s="32">
        <v>0.05</v>
      </c>
      <c r="H66" s="33">
        <v>45401</v>
      </c>
      <c r="I66" s="34">
        <v>350.22</v>
      </c>
      <c r="J66" s="30" t="str">
        <f t="shared" ref="J66:J97" si="4">TEXT(H66,"mmm-yyyy")</f>
        <v>Apr-2024</v>
      </c>
      <c r="K66" s="35">
        <f t="shared" ref="K66:K97" ca="1" si="5">NOW()</f>
        <v>46295.551106250001</v>
      </c>
    </row>
    <row r="67" spans="1:11">
      <c r="A67" s="30" t="s">
        <v>64</v>
      </c>
      <c r="B67" s="30" t="s">
        <v>37</v>
      </c>
      <c r="C67" s="30" t="s">
        <v>35</v>
      </c>
      <c r="D67" s="30" t="s">
        <v>15</v>
      </c>
      <c r="E67" s="31">
        <v>1173.1199999999999</v>
      </c>
      <c r="F67" s="30">
        <v>18</v>
      </c>
      <c r="G67" s="32">
        <v>0</v>
      </c>
      <c r="H67" s="33">
        <v>45418</v>
      </c>
      <c r="I67" s="34">
        <v>293.27999999999997</v>
      </c>
      <c r="J67" s="30" t="str">
        <f t="shared" si="4"/>
        <v>May-2024</v>
      </c>
      <c r="K67" s="35">
        <f t="shared" ca="1" si="5"/>
        <v>46295.551106250001</v>
      </c>
    </row>
    <row r="68" spans="1:11">
      <c r="A68" s="30" t="s">
        <v>64</v>
      </c>
      <c r="B68" s="30" t="s">
        <v>57</v>
      </c>
      <c r="C68" s="30" t="s">
        <v>26</v>
      </c>
      <c r="D68" s="30" t="s">
        <v>41</v>
      </c>
      <c r="E68" s="31">
        <v>488.99</v>
      </c>
      <c r="F68" s="30">
        <v>9</v>
      </c>
      <c r="G68" s="32">
        <v>0</v>
      </c>
      <c r="H68" s="33">
        <v>45479</v>
      </c>
      <c r="I68" s="34">
        <v>220.05</v>
      </c>
      <c r="J68" s="30" t="str">
        <f t="shared" si="4"/>
        <v>Jul-2024</v>
      </c>
      <c r="K68" s="35">
        <f t="shared" ca="1" si="5"/>
        <v>46295.551106250001</v>
      </c>
    </row>
    <row r="69" spans="1:11">
      <c r="A69" s="30" t="s">
        <v>64</v>
      </c>
      <c r="B69" s="30" t="s">
        <v>13</v>
      </c>
      <c r="C69" s="30" t="s">
        <v>14</v>
      </c>
      <c r="D69" s="30" t="s">
        <v>21</v>
      </c>
      <c r="E69" s="31">
        <v>862.19</v>
      </c>
      <c r="F69" s="30">
        <v>18</v>
      </c>
      <c r="G69" s="32">
        <v>0.05</v>
      </c>
      <c r="H69" s="33">
        <v>45663</v>
      </c>
      <c r="I69" s="34">
        <v>286.68</v>
      </c>
      <c r="J69" s="30" t="str">
        <f t="shared" si="4"/>
        <v>Jan-2025</v>
      </c>
      <c r="K69" s="35">
        <f t="shared" ca="1" si="5"/>
        <v>46295.551106250001</v>
      </c>
    </row>
    <row r="70" spans="1:11">
      <c r="A70" s="30" t="s">
        <v>64</v>
      </c>
      <c r="B70" s="30" t="s">
        <v>65</v>
      </c>
      <c r="C70" s="30" t="s">
        <v>38</v>
      </c>
      <c r="D70" s="30" t="s">
        <v>18</v>
      </c>
      <c r="E70" s="31">
        <v>997.61</v>
      </c>
      <c r="F70" s="30">
        <v>8</v>
      </c>
      <c r="G70" s="32">
        <v>0.05</v>
      </c>
      <c r="H70" s="33">
        <v>45752</v>
      </c>
      <c r="I70" s="34">
        <v>379.09</v>
      </c>
      <c r="J70" s="30" t="str">
        <f t="shared" si="4"/>
        <v>Apr-2025</v>
      </c>
      <c r="K70" s="35">
        <f t="shared" ca="1" si="5"/>
        <v>46295.551106250001</v>
      </c>
    </row>
    <row r="71" spans="1:11">
      <c r="A71" s="30" t="s">
        <v>66</v>
      </c>
      <c r="B71" s="30" t="s">
        <v>34</v>
      </c>
      <c r="C71" s="30" t="s">
        <v>23</v>
      </c>
      <c r="D71" s="30" t="s">
        <v>41</v>
      </c>
      <c r="E71" s="31">
        <v>1001.57</v>
      </c>
      <c r="F71" s="30">
        <v>12</v>
      </c>
      <c r="G71" s="32">
        <v>0</v>
      </c>
      <c r="H71" s="33">
        <v>45450</v>
      </c>
      <c r="I71" s="34">
        <v>450.71</v>
      </c>
      <c r="J71" s="30" t="str">
        <f t="shared" si="4"/>
        <v>Jun-2024</v>
      </c>
      <c r="K71" s="35">
        <f t="shared" ca="1" si="5"/>
        <v>46295.551106250001</v>
      </c>
    </row>
    <row r="72" spans="1:11">
      <c r="A72" s="30" t="s">
        <v>66</v>
      </c>
      <c r="B72" s="30" t="s">
        <v>40</v>
      </c>
      <c r="C72" s="30" t="s">
        <v>38</v>
      </c>
      <c r="D72" s="30" t="s">
        <v>18</v>
      </c>
      <c r="E72" s="31">
        <v>1213.48</v>
      </c>
      <c r="F72" s="30">
        <v>5</v>
      </c>
      <c r="G72" s="32">
        <v>0.05</v>
      </c>
      <c r="H72" s="33">
        <v>45616</v>
      </c>
      <c r="I72" s="34">
        <v>461.12</v>
      </c>
      <c r="J72" s="30" t="str">
        <f t="shared" si="4"/>
        <v>Nov-2024</v>
      </c>
      <c r="K72" s="35">
        <f t="shared" ca="1" si="5"/>
        <v>46295.551106250001</v>
      </c>
    </row>
    <row r="73" spans="1:11">
      <c r="A73" s="30" t="s">
        <v>66</v>
      </c>
      <c r="B73" s="30" t="s">
        <v>46</v>
      </c>
      <c r="C73" s="30" t="s">
        <v>26</v>
      </c>
      <c r="D73" s="30" t="s">
        <v>29</v>
      </c>
      <c r="E73" s="31">
        <v>662.61</v>
      </c>
      <c r="F73" s="30">
        <v>11</v>
      </c>
      <c r="G73" s="32">
        <v>0.05</v>
      </c>
      <c r="H73" s="33">
        <v>45658</v>
      </c>
      <c r="I73" s="34">
        <v>314.74</v>
      </c>
      <c r="J73" s="30" t="str">
        <f t="shared" si="4"/>
        <v>Jan-2025</v>
      </c>
      <c r="K73" s="35">
        <f t="shared" ca="1" si="5"/>
        <v>46295.551106250001</v>
      </c>
    </row>
    <row r="74" spans="1:11">
      <c r="A74" s="30" t="s">
        <v>66</v>
      </c>
      <c r="B74" s="30" t="s">
        <v>13</v>
      </c>
      <c r="C74" s="30" t="s">
        <v>23</v>
      </c>
      <c r="D74" s="30" t="s">
        <v>18</v>
      </c>
      <c r="E74" s="31">
        <v>884.63</v>
      </c>
      <c r="F74" s="30">
        <v>18</v>
      </c>
      <c r="G74" s="32">
        <v>0.1</v>
      </c>
      <c r="H74" s="33">
        <v>45659</v>
      </c>
      <c r="I74" s="34">
        <v>318.47000000000003</v>
      </c>
      <c r="J74" s="30" t="str">
        <f t="shared" si="4"/>
        <v>Jan-2025</v>
      </c>
      <c r="K74" s="35">
        <f t="shared" ca="1" si="5"/>
        <v>46295.551106250001</v>
      </c>
    </row>
    <row r="75" spans="1:11">
      <c r="A75" s="30" t="s">
        <v>67</v>
      </c>
      <c r="B75" s="30" t="s">
        <v>51</v>
      </c>
      <c r="C75" s="30" t="s">
        <v>14</v>
      </c>
      <c r="D75" s="30" t="s">
        <v>29</v>
      </c>
      <c r="E75" s="31">
        <v>1101.28</v>
      </c>
      <c r="F75" s="30">
        <v>3</v>
      </c>
      <c r="G75" s="32">
        <v>0.2</v>
      </c>
      <c r="H75" s="33">
        <v>45393</v>
      </c>
      <c r="I75" s="34">
        <v>440.51</v>
      </c>
      <c r="J75" s="30" t="str">
        <f t="shared" si="4"/>
        <v>Apr-2024</v>
      </c>
      <c r="K75" s="35">
        <f t="shared" ca="1" si="5"/>
        <v>46295.551106250001</v>
      </c>
    </row>
    <row r="76" spans="1:11">
      <c r="A76" s="30" t="s">
        <v>67</v>
      </c>
      <c r="B76" s="30" t="s">
        <v>34</v>
      </c>
      <c r="C76" s="30" t="s">
        <v>26</v>
      </c>
      <c r="D76" s="30" t="s">
        <v>41</v>
      </c>
      <c r="E76" s="31">
        <v>925.31</v>
      </c>
      <c r="F76" s="30">
        <v>8</v>
      </c>
      <c r="G76" s="32">
        <v>0.1</v>
      </c>
      <c r="H76" s="33">
        <v>45418</v>
      </c>
      <c r="I76" s="34">
        <v>374.75</v>
      </c>
      <c r="J76" s="30" t="str">
        <f t="shared" si="4"/>
        <v>May-2024</v>
      </c>
      <c r="K76" s="35">
        <f t="shared" ca="1" si="5"/>
        <v>46295.551106250001</v>
      </c>
    </row>
    <row r="77" spans="1:11">
      <c r="A77" s="30" t="s">
        <v>67</v>
      </c>
      <c r="B77" s="30" t="s">
        <v>25</v>
      </c>
      <c r="C77" s="30" t="s">
        <v>14</v>
      </c>
      <c r="D77" s="30" t="s">
        <v>18</v>
      </c>
      <c r="E77" s="31">
        <v>472.38</v>
      </c>
      <c r="F77" s="30">
        <v>12</v>
      </c>
      <c r="G77" s="32">
        <v>0.2</v>
      </c>
      <c r="H77" s="33">
        <v>45429</v>
      </c>
      <c r="I77" s="34">
        <v>151.16</v>
      </c>
      <c r="J77" s="30" t="str">
        <f t="shared" si="4"/>
        <v>May-2024</v>
      </c>
      <c r="K77" s="35">
        <f t="shared" ca="1" si="5"/>
        <v>46295.551106250001</v>
      </c>
    </row>
    <row r="78" spans="1:11">
      <c r="A78" s="30" t="s">
        <v>67</v>
      </c>
      <c r="B78" s="30" t="s">
        <v>60</v>
      </c>
      <c r="C78" s="30" t="s">
        <v>14</v>
      </c>
      <c r="D78" s="30" t="s">
        <v>29</v>
      </c>
      <c r="E78" s="31">
        <v>1360.36</v>
      </c>
      <c r="F78" s="30">
        <v>17</v>
      </c>
      <c r="G78" s="32">
        <v>0</v>
      </c>
      <c r="H78" s="33">
        <v>45473</v>
      </c>
      <c r="I78" s="34">
        <v>680.18</v>
      </c>
      <c r="J78" s="30" t="str">
        <f t="shared" si="4"/>
        <v>Jun-2024</v>
      </c>
      <c r="K78" s="35">
        <f t="shared" ca="1" si="5"/>
        <v>46295.551106250001</v>
      </c>
    </row>
    <row r="79" spans="1:11">
      <c r="A79" s="30" t="s">
        <v>67</v>
      </c>
      <c r="B79" s="30" t="s">
        <v>28</v>
      </c>
      <c r="C79" s="30" t="s">
        <v>35</v>
      </c>
      <c r="D79" s="30" t="s">
        <v>18</v>
      </c>
      <c r="E79" s="31">
        <v>804.45</v>
      </c>
      <c r="F79" s="30">
        <v>5</v>
      </c>
      <c r="G79" s="32">
        <v>0.2</v>
      </c>
      <c r="H79" s="33">
        <v>45509</v>
      </c>
      <c r="I79" s="34">
        <v>257.42</v>
      </c>
      <c r="J79" s="30" t="str">
        <f t="shared" si="4"/>
        <v>Aug-2024</v>
      </c>
      <c r="K79" s="35">
        <f t="shared" ca="1" si="5"/>
        <v>46295.551106250001</v>
      </c>
    </row>
    <row r="80" spans="1:11">
      <c r="A80" s="30" t="s">
        <v>67</v>
      </c>
      <c r="B80" s="30" t="s">
        <v>13</v>
      </c>
      <c r="C80" s="30" t="s">
        <v>14</v>
      </c>
      <c r="D80" s="30" t="s">
        <v>15</v>
      </c>
      <c r="E80" s="31">
        <v>1215.26</v>
      </c>
      <c r="F80" s="30">
        <v>5</v>
      </c>
      <c r="G80" s="32">
        <v>0.15</v>
      </c>
      <c r="H80" s="33">
        <v>45513</v>
      </c>
      <c r="I80" s="34">
        <v>258.24</v>
      </c>
      <c r="J80" s="30" t="str">
        <f t="shared" si="4"/>
        <v>Aug-2024</v>
      </c>
      <c r="K80" s="35">
        <f t="shared" ca="1" si="5"/>
        <v>46295.551106250001</v>
      </c>
    </row>
    <row r="81" spans="1:11">
      <c r="A81" s="30" t="s">
        <v>67</v>
      </c>
      <c r="B81" s="30" t="s">
        <v>32</v>
      </c>
      <c r="C81" s="30" t="s">
        <v>23</v>
      </c>
      <c r="D81" s="30" t="s">
        <v>15</v>
      </c>
      <c r="E81" s="31">
        <v>925.29</v>
      </c>
      <c r="F81" s="30">
        <v>17</v>
      </c>
      <c r="G81" s="32">
        <v>0</v>
      </c>
      <c r="H81" s="33">
        <v>45570</v>
      </c>
      <c r="I81" s="34">
        <v>231.32</v>
      </c>
      <c r="J81" s="30" t="str">
        <f t="shared" si="4"/>
        <v>Oct-2024</v>
      </c>
      <c r="K81" s="35">
        <f t="shared" ca="1" si="5"/>
        <v>46295.551106250001</v>
      </c>
    </row>
    <row r="82" spans="1:11">
      <c r="A82" s="30" t="s">
        <v>67</v>
      </c>
      <c r="B82" s="30" t="s">
        <v>57</v>
      </c>
      <c r="C82" s="30" t="s">
        <v>14</v>
      </c>
      <c r="D82" s="30" t="s">
        <v>15</v>
      </c>
      <c r="E82" s="31">
        <v>688.83</v>
      </c>
      <c r="F82" s="30">
        <v>15</v>
      </c>
      <c r="G82" s="32">
        <v>0</v>
      </c>
      <c r="H82" s="33">
        <v>45595</v>
      </c>
      <c r="I82" s="34">
        <v>172.21</v>
      </c>
      <c r="J82" s="30" t="str">
        <f t="shared" si="4"/>
        <v>Oct-2024</v>
      </c>
      <c r="K82" s="35">
        <f t="shared" ca="1" si="5"/>
        <v>46295.551106250001</v>
      </c>
    </row>
    <row r="83" spans="1:11">
      <c r="A83" s="30" t="s">
        <v>67</v>
      </c>
      <c r="B83" s="30" t="s">
        <v>17</v>
      </c>
      <c r="C83" s="30" t="s">
        <v>23</v>
      </c>
      <c r="D83" s="30" t="s">
        <v>29</v>
      </c>
      <c r="E83" s="31">
        <v>845.84</v>
      </c>
      <c r="F83" s="30">
        <v>4</v>
      </c>
      <c r="G83" s="32">
        <v>0</v>
      </c>
      <c r="H83" s="33">
        <v>45707</v>
      </c>
      <c r="I83" s="34">
        <v>422.92</v>
      </c>
      <c r="J83" s="30" t="str">
        <f t="shared" si="4"/>
        <v>Feb-2025</v>
      </c>
      <c r="K83" s="35">
        <f t="shared" ca="1" si="5"/>
        <v>46295.551106250001</v>
      </c>
    </row>
    <row r="84" spans="1:11">
      <c r="A84" s="30" t="s">
        <v>68</v>
      </c>
      <c r="B84" s="30" t="s">
        <v>51</v>
      </c>
      <c r="C84" s="30" t="s">
        <v>35</v>
      </c>
      <c r="D84" s="30" t="s">
        <v>21</v>
      </c>
      <c r="E84" s="31">
        <v>727.73</v>
      </c>
      <c r="F84" s="30">
        <v>1</v>
      </c>
      <c r="G84" s="32">
        <v>0.1</v>
      </c>
      <c r="H84" s="33">
        <v>45552</v>
      </c>
      <c r="I84" s="34">
        <v>229.23</v>
      </c>
      <c r="J84" s="30" t="str">
        <f t="shared" si="4"/>
        <v>Sep-2024</v>
      </c>
      <c r="K84" s="35">
        <f t="shared" ca="1" si="5"/>
        <v>46295.551106250001</v>
      </c>
    </row>
    <row r="85" spans="1:11">
      <c r="A85" s="30" t="s">
        <v>68</v>
      </c>
      <c r="B85" s="30" t="s">
        <v>13</v>
      </c>
      <c r="C85" s="30" t="s">
        <v>26</v>
      </c>
      <c r="D85" s="30" t="s">
        <v>18</v>
      </c>
      <c r="E85" s="31">
        <v>1249.0999999999999</v>
      </c>
      <c r="F85" s="30">
        <v>4</v>
      </c>
      <c r="G85" s="32">
        <v>0.05</v>
      </c>
      <c r="H85" s="33">
        <v>45597</v>
      </c>
      <c r="I85" s="34">
        <v>474.66</v>
      </c>
      <c r="J85" s="30" t="str">
        <f t="shared" si="4"/>
        <v>Nov-2024</v>
      </c>
      <c r="K85" s="35">
        <f t="shared" ca="1" si="5"/>
        <v>46295.551106250001</v>
      </c>
    </row>
    <row r="86" spans="1:11">
      <c r="A86" s="30" t="s">
        <v>68</v>
      </c>
      <c r="B86" s="30" t="s">
        <v>60</v>
      </c>
      <c r="C86" s="30" t="s">
        <v>23</v>
      </c>
      <c r="D86" s="30" t="s">
        <v>29</v>
      </c>
      <c r="E86" s="31">
        <v>1171.18</v>
      </c>
      <c r="F86" s="30">
        <v>19</v>
      </c>
      <c r="G86" s="32">
        <v>0.05</v>
      </c>
      <c r="H86" s="33">
        <v>45667</v>
      </c>
      <c r="I86" s="34">
        <v>556.30999999999995</v>
      </c>
      <c r="J86" s="30" t="str">
        <f t="shared" si="4"/>
        <v>Jan-2025</v>
      </c>
      <c r="K86" s="35">
        <f t="shared" ca="1" si="5"/>
        <v>46295.551106250001</v>
      </c>
    </row>
    <row r="87" spans="1:11">
      <c r="A87" s="30" t="s">
        <v>68</v>
      </c>
      <c r="B87" s="30" t="s">
        <v>53</v>
      </c>
      <c r="C87" s="30" t="s">
        <v>26</v>
      </c>
      <c r="D87" s="30" t="s">
        <v>18</v>
      </c>
      <c r="E87" s="31">
        <v>1014.43</v>
      </c>
      <c r="F87" s="30">
        <v>2</v>
      </c>
      <c r="G87" s="32">
        <v>0.15</v>
      </c>
      <c r="H87" s="33">
        <v>45713</v>
      </c>
      <c r="I87" s="34">
        <v>344.91</v>
      </c>
      <c r="J87" s="30" t="str">
        <f t="shared" si="4"/>
        <v>Feb-2025</v>
      </c>
      <c r="K87" s="35">
        <f t="shared" ca="1" si="5"/>
        <v>46295.551106250001</v>
      </c>
    </row>
    <row r="88" spans="1:11">
      <c r="A88" s="30" t="s">
        <v>69</v>
      </c>
      <c r="B88" s="30" t="s">
        <v>43</v>
      </c>
      <c r="C88" s="30" t="s">
        <v>14</v>
      </c>
      <c r="D88" s="30" t="s">
        <v>41</v>
      </c>
      <c r="E88" s="31">
        <v>1572.82</v>
      </c>
      <c r="F88" s="30">
        <v>6</v>
      </c>
      <c r="G88" s="32">
        <v>0.05</v>
      </c>
      <c r="H88" s="33">
        <v>45402</v>
      </c>
      <c r="I88" s="34">
        <v>672.38</v>
      </c>
      <c r="J88" s="30" t="str">
        <f t="shared" si="4"/>
        <v>Apr-2024</v>
      </c>
      <c r="K88" s="35">
        <f t="shared" ca="1" si="5"/>
        <v>46295.551106250001</v>
      </c>
    </row>
    <row r="89" spans="1:11">
      <c r="A89" s="30" t="s">
        <v>69</v>
      </c>
      <c r="B89" s="30" t="s">
        <v>65</v>
      </c>
      <c r="C89" s="30" t="s">
        <v>26</v>
      </c>
      <c r="D89" s="30" t="s">
        <v>18</v>
      </c>
      <c r="E89" s="31">
        <v>1343.13</v>
      </c>
      <c r="F89" s="30">
        <v>14</v>
      </c>
      <c r="G89" s="32">
        <v>0.15</v>
      </c>
      <c r="H89" s="33">
        <v>45404</v>
      </c>
      <c r="I89" s="34">
        <v>456.66</v>
      </c>
      <c r="J89" s="30" t="str">
        <f t="shared" si="4"/>
        <v>Apr-2024</v>
      </c>
      <c r="K89" s="35">
        <f t="shared" ca="1" si="5"/>
        <v>46295.551106250001</v>
      </c>
    </row>
    <row r="90" spans="1:11">
      <c r="A90" s="30" t="s">
        <v>69</v>
      </c>
      <c r="B90" s="30" t="s">
        <v>48</v>
      </c>
      <c r="C90" s="30" t="s">
        <v>35</v>
      </c>
      <c r="D90" s="30" t="s">
        <v>18</v>
      </c>
      <c r="E90" s="31">
        <v>961.62</v>
      </c>
      <c r="F90" s="30">
        <v>8</v>
      </c>
      <c r="G90" s="32">
        <v>0.2</v>
      </c>
      <c r="H90" s="33">
        <v>45577</v>
      </c>
      <c r="I90" s="34">
        <v>307.72000000000003</v>
      </c>
      <c r="J90" s="30" t="str">
        <f t="shared" si="4"/>
        <v>Oct-2024</v>
      </c>
      <c r="K90" s="35">
        <f t="shared" ca="1" si="5"/>
        <v>46295.551106250001</v>
      </c>
    </row>
    <row r="91" spans="1:11">
      <c r="A91" s="30" t="s">
        <v>69</v>
      </c>
      <c r="B91" s="30" t="s">
        <v>28</v>
      </c>
      <c r="C91" s="30" t="s">
        <v>35</v>
      </c>
      <c r="D91" s="30" t="s">
        <v>21</v>
      </c>
      <c r="E91" s="31">
        <v>853.86</v>
      </c>
      <c r="F91" s="30">
        <v>8</v>
      </c>
      <c r="G91" s="32">
        <v>0.1</v>
      </c>
      <c r="H91" s="33">
        <v>45622</v>
      </c>
      <c r="I91" s="34">
        <v>268.97000000000003</v>
      </c>
      <c r="J91" s="30" t="str">
        <f t="shared" si="4"/>
        <v>Nov-2024</v>
      </c>
      <c r="K91" s="35">
        <f t="shared" ca="1" si="5"/>
        <v>46295.551106250001</v>
      </c>
    </row>
    <row r="92" spans="1:11">
      <c r="A92" s="30" t="s">
        <v>69</v>
      </c>
      <c r="B92" s="30" t="s">
        <v>43</v>
      </c>
      <c r="C92" s="30" t="s">
        <v>35</v>
      </c>
      <c r="D92" s="30" t="s">
        <v>18</v>
      </c>
      <c r="E92" s="31">
        <v>1064.19</v>
      </c>
      <c r="F92" s="30">
        <v>18</v>
      </c>
      <c r="G92" s="32">
        <v>0.05</v>
      </c>
      <c r="H92" s="33">
        <v>45725</v>
      </c>
      <c r="I92" s="34">
        <v>404.39</v>
      </c>
      <c r="J92" s="30" t="str">
        <f t="shared" si="4"/>
        <v>Mar-2025</v>
      </c>
      <c r="K92" s="35">
        <f t="shared" ca="1" si="5"/>
        <v>46295.551106250001</v>
      </c>
    </row>
    <row r="93" spans="1:11">
      <c r="A93" s="30" t="s">
        <v>69</v>
      </c>
      <c r="B93" s="30" t="s">
        <v>24</v>
      </c>
      <c r="C93" s="30" t="s">
        <v>14</v>
      </c>
      <c r="D93" s="30" t="s">
        <v>29</v>
      </c>
      <c r="E93" s="31">
        <v>934.27</v>
      </c>
      <c r="F93" s="30">
        <v>8</v>
      </c>
      <c r="G93" s="32">
        <v>0.15</v>
      </c>
      <c r="H93" s="33">
        <v>45746</v>
      </c>
      <c r="I93" s="34">
        <v>397.06</v>
      </c>
      <c r="J93" s="30" t="str">
        <f t="shared" si="4"/>
        <v>Mar-2025</v>
      </c>
      <c r="K93" s="35">
        <f t="shared" ca="1" si="5"/>
        <v>46295.551106250001</v>
      </c>
    </row>
    <row r="94" spans="1:11">
      <c r="A94" s="30" t="s">
        <v>70</v>
      </c>
      <c r="B94" s="30" t="s">
        <v>53</v>
      </c>
      <c r="C94" s="30" t="s">
        <v>23</v>
      </c>
      <c r="D94" s="30" t="s">
        <v>41</v>
      </c>
      <c r="E94" s="31">
        <v>1200.9000000000001</v>
      </c>
      <c r="F94" s="30">
        <v>14</v>
      </c>
      <c r="G94" s="32">
        <v>0.05</v>
      </c>
      <c r="H94" s="33">
        <v>45429</v>
      </c>
      <c r="I94" s="34">
        <v>513.38</v>
      </c>
      <c r="J94" s="30" t="str">
        <f t="shared" si="4"/>
        <v>May-2024</v>
      </c>
      <c r="K94" s="35">
        <f t="shared" ca="1" si="5"/>
        <v>46295.551106250001</v>
      </c>
    </row>
    <row r="95" spans="1:11">
      <c r="A95" s="30" t="s">
        <v>70</v>
      </c>
      <c r="B95" s="30" t="s">
        <v>45</v>
      </c>
      <c r="C95" s="30" t="s">
        <v>35</v>
      </c>
      <c r="D95" s="30" t="s">
        <v>29</v>
      </c>
      <c r="E95" s="31">
        <v>1226.6199999999999</v>
      </c>
      <c r="F95" s="30">
        <v>7</v>
      </c>
      <c r="G95" s="32">
        <v>0.1</v>
      </c>
      <c r="H95" s="33">
        <v>45463</v>
      </c>
      <c r="I95" s="34">
        <v>551.98</v>
      </c>
      <c r="J95" s="30" t="str">
        <f t="shared" si="4"/>
        <v>Jun-2024</v>
      </c>
      <c r="K95" s="35">
        <f t="shared" ca="1" si="5"/>
        <v>46295.551106250001</v>
      </c>
    </row>
    <row r="96" spans="1:11">
      <c r="A96" s="30" t="s">
        <v>70</v>
      </c>
      <c r="B96" s="30" t="s">
        <v>65</v>
      </c>
      <c r="C96" s="30" t="s">
        <v>14</v>
      </c>
      <c r="D96" s="30" t="s">
        <v>29</v>
      </c>
      <c r="E96" s="31">
        <v>1168.8900000000001</v>
      </c>
      <c r="F96" s="30">
        <v>4</v>
      </c>
      <c r="G96" s="32">
        <v>0.1</v>
      </c>
      <c r="H96" s="33">
        <v>45544</v>
      </c>
      <c r="I96" s="34">
        <v>526</v>
      </c>
      <c r="J96" s="30" t="str">
        <f t="shared" si="4"/>
        <v>Sep-2024</v>
      </c>
      <c r="K96" s="35">
        <f t="shared" ca="1" si="5"/>
        <v>46295.551106250001</v>
      </c>
    </row>
    <row r="97" spans="1:11">
      <c r="A97" s="30" t="s">
        <v>70</v>
      </c>
      <c r="B97" s="30" t="s">
        <v>45</v>
      </c>
      <c r="C97" s="30" t="s">
        <v>14</v>
      </c>
      <c r="D97" s="30" t="s">
        <v>29</v>
      </c>
      <c r="E97" s="31">
        <v>1923.66</v>
      </c>
      <c r="F97" s="30">
        <v>9</v>
      </c>
      <c r="G97" s="32">
        <v>0.2</v>
      </c>
      <c r="H97" s="33">
        <v>45580</v>
      </c>
      <c r="I97" s="34">
        <v>769.46</v>
      </c>
      <c r="J97" s="30" t="str">
        <f t="shared" si="4"/>
        <v>Oct-2024</v>
      </c>
      <c r="K97" s="35">
        <f t="shared" ca="1" si="5"/>
        <v>46295.551106250001</v>
      </c>
    </row>
    <row r="98" spans="1:11">
      <c r="A98" s="30" t="s">
        <v>70</v>
      </c>
      <c r="B98" s="30" t="s">
        <v>28</v>
      </c>
      <c r="C98" s="30" t="s">
        <v>14</v>
      </c>
      <c r="D98" s="30" t="s">
        <v>21</v>
      </c>
      <c r="E98" s="31">
        <v>820.19</v>
      </c>
      <c r="F98" s="30">
        <v>4</v>
      </c>
      <c r="G98" s="32">
        <v>0.2</v>
      </c>
      <c r="H98" s="33">
        <v>45630</v>
      </c>
      <c r="I98" s="34">
        <v>229.65</v>
      </c>
      <c r="J98" s="30" t="str">
        <f t="shared" ref="J98:J129" si="6">TEXT(H98,"mmm-yyyy")</f>
        <v>Dec-2024</v>
      </c>
      <c r="K98" s="35">
        <f t="shared" ref="K98:K129" ca="1" si="7">NOW()</f>
        <v>46295.551106250001</v>
      </c>
    </row>
    <row r="99" spans="1:11">
      <c r="A99" s="30" t="s">
        <v>70</v>
      </c>
      <c r="B99" s="30" t="s">
        <v>43</v>
      </c>
      <c r="C99" s="30" t="s">
        <v>26</v>
      </c>
      <c r="D99" s="30" t="s">
        <v>15</v>
      </c>
      <c r="E99" s="31">
        <v>511.74</v>
      </c>
      <c r="F99" s="30">
        <v>8</v>
      </c>
      <c r="G99" s="32">
        <v>0.05</v>
      </c>
      <c r="H99" s="33">
        <v>45631</v>
      </c>
      <c r="I99" s="34">
        <v>121.54</v>
      </c>
      <c r="J99" s="30" t="str">
        <f t="shared" si="6"/>
        <v>Dec-2024</v>
      </c>
      <c r="K99" s="35">
        <f t="shared" ca="1" si="7"/>
        <v>46295.551106250001</v>
      </c>
    </row>
    <row r="100" spans="1:11">
      <c r="A100" s="30" t="s">
        <v>70</v>
      </c>
      <c r="B100" s="30" t="s">
        <v>51</v>
      </c>
      <c r="C100" s="30" t="s">
        <v>35</v>
      </c>
      <c r="D100" s="30" t="s">
        <v>21</v>
      </c>
      <c r="E100" s="31">
        <v>1054.56</v>
      </c>
      <c r="F100" s="30">
        <v>11</v>
      </c>
      <c r="G100" s="32">
        <v>0.1</v>
      </c>
      <c r="H100" s="33">
        <v>45669</v>
      </c>
      <c r="I100" s="34">
        <v>332.19</v>
      </c>
      <c r="J100" s="30" t="str">
        <f t="shared" si="6"/>
        <v>Jan-2025</v>
      </c>
      <c r="K100" s="35">
        <f t="shared" ca="1" si="7"/>
        <v>46295.551106250001</v>
      </c>
    </row>
    <row r="101" spans="1:11">
      <c r="A101" s="30" t="s">
        <v>70</v>
      </c>
      <c r="B101" s="30" t="s">
        <v>45</v>
      </c>
      <c r="C101" s="30" t="s">
        <v>23</v>
      </c>
      <c r="D101" s="30" t="s">
        <v>15</v>
      </c>
      <c r="E101" s="31">
        <v>1681.21</v>
      </c>
      <c r="F101" s="30">
        <v>5</v>
      </c>
      <c r="G101" s="32">
        <v>0.2</v>
      </c>
      <c r="H101" s="33">
        <v>45670</v>
      </c>
      <c r="I101" s="34">
        <v>336.24</v>
      </c>
      <c r="J101" s="30" t="str">
        <f t="shared" si="6"/>
        <v>Jan-2025</v>
      </c>
      <c r="K101" s="35">
        <f t="shared" ca="1" si="7"/>
        <v>46295.551106250001</v>
      </c>
    </row>
    <row r="102" spans="1:11">
      <c r="A102" s="30" t="s">
        <v>70</v>
      </c>
      <c r="B102" s="30" t="s">
        <v>65</v>
      </c>
      <c r="C102" s="30" t="s">
        <v>14</v>
      </c>
      <c r="D102" s="30" t="s">
        <v>29</v>
      </c>
      <c r="E102" s="31">
        <v>379.77</v>
      </c>
      <c r="F102" s="30">
        <v>9</v>
      </c>
      <c r="G102" s="32">
        <v>0.05</v>
      </c>
      <c r="H102" s="33">
        <v>45673</v>
      </c>
      <c r="I102" s="34">
        <v>180.39</v>
      </c>
      <c r="J102" s="30" t="str">
        <f t="shared" si="6"/>
        <v>Jan-2025</v>
      </c>
      <c r="K102" s="35">
        <f t="shared" ca="1" si="7"/>
        <v>46295.551106250001</v>
      </c>
    </row>
    <row r="103" spans="1:11">
      <c r="A103" s="30" t="s">
        <v>70</v>
      </c>
      <c r="B103" s="30" t="s">
        <v>17</v>
      </c>
      <c r="C103" s="30" t="s">
        <v>38</v>
      </c>
      <c r="D103" s="30" t="s">
        <v>18</v>
      </c>
      <c r="E103" s="31">
        <v>1098.08</v>
      </c>
      <c r="F103" s="30">
        <v>9</v>
      </c>
      <c r="G103" s="32">
        <v>0.1</v>
      </c>
      <c r="H103" s="33">
        <v>45692</v>
      </c>
      <c r="I103" s="34">
        <v>395.31</v>
      </c>
      <c r="J103" s="30" t="str">
        <f t="shared" si="6"/>
        <v>Feb-2025</v>
      </c>
      <c r="K103" s="35">
        <f t="shared" ca="1" si="7"/>
        <v>46295.551106250001</v>
      </c>
    </row>
    <row r="104" spans="1:11">
      <c r="A104" s="30" t="s">
        <v>70</v>
      </c>
      <c r="B104" s="30" t="s">
        <v>24</v>
      </c>
      <c r="C104" s="30" t="s">
        <v>14</v>
      </c>
      <c r="D104" s="30" t="s">
        <v>41</v>
      </c>
      <c r="E104" s="31">
        <v>545.44000000000005</v>
      </c>
      <c r="F104" s="30">
        <v>17</v>
      </c>
      <c r="G104" s="32">
        <v>0</v>
      </c>
      <c r="H104" s="33">
        <v>45752</v>
      </c>
      <c r="I104" s="34">
        <v>245.45</v>
      </c>
      <c r="J104" s="30" t="str">
        <f t="shared" si="6"/>
        <v>Apr-2025</v>
      </c>
      <c r="K104" s="35">
        <f t="shared" ca="1" si="7"/>
        <v>46295.551106250001</v>
      </c>
    </row>
    <row r="105" spans="1:11">
      <c r="A105" s="30" t="s">
        <v>71</v>
      </c>
      <c r="B105" s="30" t="s">
        <v>40</v>
      </c>
      <c r="C105" s="30" t="s">
        <v>38</v>
      </c>
      <c r="D105" s="30" t="s">
        <v>18</v>
      </c>
      <c r="E105" s="31">
        <v>580.42999999999995</v>
      </c>
      <c r="F105" s="30">
        <v>19</v>
      </c>
      <c r="G105" s="32">
        <v>0.15</v>
      </c>
      <c r="H105" s="33">
        <v>45435</v>
      </c>
      <c r="I105" s="34">
        <v>197.35</v>
      </c>
      <c r="J105" s="30" t="str">
        <f t="shared" si="6"/>
        <v>May-2024</v>
      </c>
      <c r="K105" s="35">
        <f t="shared" ca="1" si="7"/>
        <v>46295.551106250001</v>
      </c>
    </row>
    <row r="106" spans="1:11">
      <c r="A106" s="30" t="s">
        <v>71</v>
      </c>
      <c r="B106" s="30" t="s">
        <v>25</v>
      </c>
      <c r="C106" s="30" t="s">
        <v>23</v>
      </c>
      <c r="D106" s="30" t="s">
        <v>29</v>
      </c>
      <c r="E106" s="31">
        <v>990.19</v>
      </c>
      <c r="F106" s="30">
        <v>8</v>
      </c>
      <c r="G106" s="32">
        <v>0.1</v>
      </c>
      <c r="H106" s="33">
        <v>45565</v>
      </c>
      <c r="I106" s="34">
        <v>445.59</v>
      </c>
      <c r="J106" s="30" t="str">
        <f t="shared" si="6"/>
        <v>Sep-2024</v>
      </c>
      <c r="K106" s="35">
        <f t="shared" ca="1" si="7"/>
        <v>46295.551106250001</v>
      </c>
    </row>
    <row r="107" spans="1:11">
      <c r="A107" s="30" t="s">
        <v>71</v>
      </c>
      <c r="B107" s="30" t="s">
        <v>49</v>
      </c>
      <c r="C107" s="30" t="s">
        <v>35</v>
      </c>
      <c r="D107" s="30" t="s">
        <v>29</v>
      </c>
      <c r="E107" s="31">
        <v>870.23</v>
      </c>
      <c r="F107" s="30">
        <v>5</v>
      </c>
      <c r="G107" s="32">
        <v>0.05</v>
      </c>
      <c r="H107" s="33">
        <v>45660</v>
      </c>
      <c r="I107" s="34">
        <v>413.36</v>
      </c>
      <c r="J107" s="30" t="str">
        <f t="shared" si="6"/>
        <v>Jan-2025</v>
      </c>
      <c r="K107" s="35">
        <f t="shared" ca="1" si="7"/>
        <v>46295.551106250001</v>
      </c>
    </row>
    <row r="108" spans="1:11">
      <c r="A108" s="30" t="s">
        <v>71</v>
      </c>
      <c r="B108" s="30" t="s">
        <v>65</v>
      </c>
      <c r="C108" s="30" t="s">
        <v>35</v>
      </c>
      <c r="D108" s="30" t="s">
        <v>29</v>
      </c>
      <c r="E108" s="31">
        <v>928.32</v>
      </c>
      <c r="F108" s="30">
        <v>2</v>
      </c>
      <c r="G108" s="32">
        <v>0.05</v>
      </c>
      <c r="H108" s="33">
        <v>45754</v>
      </c>
      <c r="I108" s="34">
        <v>440.95</v>
      </c>
      <c r="J108" s="30" t="str">
        <f t="shared" si="6"/>
        <v>Apr-2025</v>
      </c>
      <c r="K108" s="35">
        <f t="shared" ca="1" si="7"/>
        <v>46295.551106250001</v>
      </c>
    </row>
    <row r="109" spans="1:11">
      <c r="A109" s="30" t="s">
        <v>72</v>
      </c>
      <c r="B109" s="30" t="s">
        <v>49</v>
      </c>
      <c r="C109" s="30" t="s">
        <v>38</v>
      </c>
      <c r="D109" s="30" t="s">
        <v>18</v>
      </c>
      <c r="E109" s="31">
        <v>713.34</v>
      </c>
      <c r="F109" s="30">
        <v>17</v>
      </c>
      <c r="G109" s="32">
        <v>0</v>
      </c>
      <c r="H109" s="33">
        <v>45396</v>
      </c>
      <c r="I109" s="34">
        <v>285.33999999999997</v>
      </c>
      <c r="J109" s="30" t="str">
        <f t="shared" si="6"/>
        <v>Apr-2024</v>
      </c>
      <c r="K109" s="35">
        <f t="shared" ca="1" si="7"/>
        <v>46295.551106250001</v>
      </c>
    </row>
    <row r="110" spans="1:11">
      <c r="A110" s="30" t="s">
        <v>72</v>
      </c>
      <c r="B110" s="30" t="s">
        <v>73</v>
      </c>
      <c r="C110" s="30" t="s">
        <v>26</v>
      </c>
      <c r="D110" s="30" t="s">
        <v>15</v>
      </c>
      <c r="E110" s="31">
        <v>856.7</v>
      </c>
      <c r="F110" s="30">
        <v>2</v>
      </c>
      <c r="G110" s="32">
        <v>0</v>
      </c>
      <c r="H110" s="33">
        <v>45449</v>
      </c>
      <c r="I110" s="34">
        <v>214.18</v>
      </c>
      <c r="J110" s="30" t="str">
        <f t="shared" si="6"/>
        <v>Jun-2024</v>
      </c>
      <c r="K110" s="35">
        <f t="shared" ca="1" si="7"/>
        <v>46295.551106250001</v>
      </c>
    </row>
    <row r="111" spans="1:11">
      <c r="A111" s="30" t="s">
        <v>72</v>
      </c>
      <c r="B111" s="30" t="s">
        <v>48</v>
      </c>
      <c r="C111" s="30" t="s">
        <v>14</v>
      </c>
      <c r="D111" s="30" t="s">
        <v>41</v>
      </c>
      <c r="E111" s="31">
        <v>826.93</v>
      </c>
      <c r="F111" s="30">
        <v>10</v>
      </c>
      <c r="G111" s="32">
        <v>0.2</v>
      </c>
      <c r="H111" s="33">
        <v>45564</v>
      </c>
      <c r="I111" s="34">
        <v>297.69</v>
      </c>
      <c r="J111" s="30" t="str">
        <f t="shared" si="6"/>
        <v>Sep-2024</v>
      </c>
      <c r="K111" s="35">
        <f t="shared" ca="1" si="7"/>
        <v>46295.551106250001</v>
      </c>
    </row>
    <row r="112" spans="1:11">
      <c r="A112" s="30" t="s">
        <v>72</v>
      </c>
      <c r="B112" s="30" t="s">
        <v>34</v>
      </c>
      <c r="C112" s="30" t="s">
        <v>26</v>
      </c>
      <c r="D112" s="30" t="s">
        <v>29</v>
      </c>
      <c r="E112" s="31">
        <v>1022.23</v>
      </c>
      <c r="F112" s="30">
        <v>8</v>
      </c>
      <c r="G112" s="32">
        <v>0.1</v>
      </c>
      <c r="H112" s="33">
        <v>45717</v>
      </c>
      <c r="I112" s="34">
        <v>460</v>
      </c>
      <c r="J112" s="30" t="str">
        <f t="shared" si="6"/>
        <v>Mar-2025</v>
      </c>
      <c r="K112" s="35">
        <f t="shared" ca="1" si="7"/>
        <v>46295.551106250001</v>
      </c>
    </row>
    <row r="113" spans="1:11">
      <c r="A113" s="30" t="s">
        <v>74</v>
      </c>
      <c r="B113" s="30" t="s">
        <v>20</v>
      </c>
      <c r="C113" s="30" t="s">
        <v>35</v>
      </c>
      <c r="D113" s="30" t="s">
        <v>18</v>
      </c>
      <c r="E113" s="31">
        <v>966.3</v>
      </c>
      <c r="F113" s="30">
        <v>2</v>
      </c>
      <c r="G113" s="32">
        <v>0.15</v>
      </c>
      <c r="H113" s="33">
        <v>45557</v>
      </c>
      <c r="I113" s="34">
        <v>328.54</v>
      </c>
      <c r="J113" s="30" t="str">
        <f t="shared" si="6"/>
        <v>Sep-2024</v>
      </c>
      <c r="K113" s="35">
        <f t="shared" ca="1" si="7"/>
        <v>46295.551106250001</v>
      </c>
    </row>
    <row r="114" spans="1:11">
      <c r="A114" s="30" t="s">
        <v>74</v>
      </c>
      <c r="B114" s="30" t="s">
        <v>17</v>
      </c>
      <c r="C114" s="30" t="s">
        <v>35</v>
      </c>
      <c r="D114" s="30" t="s">
        <v>15</v>
      </c>
      <c r="E114" s="31">
        <v>1061.04</v>
      </c>
      <c r="F114" s="30">
        <v>1</v>
      </c>
      <c r="G114" s="32">
        <v>0</v>
      </c>
      <c r="H114" s="33">
        <v>45624</v>
      </c>
      <c r="I114" s="34">
        <v>265.26</v>
      </c>
      <c r="J114" s="30" t="str">
        <f t="shared" si="6"/>
        <v>Nov-2024</v>
      </c>
      <c r="K114" s="35">
        <f t="shared" ca="1" si="7"/>
        <v>46295.551106250001</v>
      </c>
    </row>
    <row r="115" spans="1:11">
      <c r="A115" s="30" t="s">
        <v>74</v>
      </c>
      <c r="B115" s="30" t="s">
        <v>32</v>
      </c>
      <c r="C115" s="30" t="s">
        <v>23</v>
      </c>
      <c r="D115" s="30" t="s">
        <v>18</v>
      </c>
      <c r="E115" s="31">
        <v>640.64</v>
      </c>
      <c r="F115" s="30">
        <v>11</v>
      </c>
      <c r="G115" s="32">
        <v>0.2</v>
      </c>
      <c r="H115" s="33">
        <v>45678</v>
      </c>
      <c r="I115" s="34">
        <v>205</v>
      </c>
      <c r="J115" s="30" t="str">
        <f t="shared" si="6"/>
        <v>Jan-2025</v>
      </c>
      <c r="K115" s="35">
        <f t="shared" ca="1" si="7"/>
        <v>46295.551106250001</v>
      </c>
    </row>
    <row r="116" spans="1:11">
      <c r="A116" s="30" t="s">
        <v>74</v>
      </c>
      <c r="B116" s="30" t="s">
        <v>34</v>
      </c>
      <c r="C116" s="30" t="s">
        <v>26</v>
      </c>
      <c r="D116" s="30" t="s">
        <v>29</v>
      </c>
      <c r="E116" s="31">
        <v>826.97</v>
      </c>
      <c r="F116" s="30">
        <v>18</v>
      </c>
      <c r="G116" s="32">
        <v>0.2</v>
      </c>
      <c r="H116" s="33">
        <v>45715</v>
      </c>
      <c r="I116" s="34">
        <v>330.79</v>
      </c>
      <c r="J116" s="30" t="str">
        <f t="shared" si="6"/>
        <v>Feb-2025</v>
      </c>
      <c r="K116" s="35">
        <f t="shared" ca="1" si="7"/>
        <v>46295.551106250001</v>
      </c>
    </row>
    <row r="117" spans="1:11">
      <c r="A117" s="30" t="s">
        <v>74</v>
      </c>
      <c r="B117" s="30" t="s">
        <v>28</v>
      </c>
      <c r="C117" s="30" t="s">
        <v>26</v>
      </c>
      <c r="D117" s="30" t="s">
        <v>29</v>
      </c>
      <c r="E117" s="31">
        <v>1456.94</v>
      </c>
      <c r="F117" s="30">
        <v>14</v>
      </c>
      <c r="G117" s="32">
        <v>0.05</v>
      </c>
      <c r="H117" s="33">
        <v>45745</v>
      </c>
      <c r="I117" s="34">
        <v>692.05</v>
      </c>
      <c r="J117" s="30" t="str">
        <f t="shared" si="6"/>
        <v>Mar-2025</v>
      </c>
      <c r="K117" s="35">
        <f t="shared" ca="1" si="7"/>
        <v>46295.551106250001</v>
      </c>
    </row>
    <row r="118" spans="1:11">
      <c r="A118" s="30" t="s">
        <v>75</v>
      </c>
      <c r="B118" s="30" t="s">
        <v>44</v>
      </c>
      <c r="C118" s="30" t="s">
        <v>14</v>
      </c>
      <c r="D118" s="30" t="s">
        <v>18</v>
      </c>
      <c r="E118" s="31">
        <v>1036.0899999999999</v>
      </c>
      <c r="F118" s="30">
        <v>4</v>
      </c>
      <c r="G118" s="32">
        <v>0.2</v>
      </c>
      <c r="H118" s="33">
        <v>45392</v>
      </c>
      <c r="I118" s="34">
        <v>331.55</v>
      </c>
      <c r="J118" s="30" t="str">
        <f t="shared" si="6"/>
        <v>Apr-2024</v>
      </c>
      <c r="K118" s="35">
        <f t="shared" ca="1" si="7"/>
        <v>46295.551106250001</v>
      </c>
    </row>
    <row r="119" spans="1:11">
      <c r="A119" s="30" t="s">
        <v>75</v>
      </c>
      <c r="B119" s="30" t="s">
        <v>34</v>
      </c>
      <c r="C119" s="30" t="s">
        <v>14</v>
      </c>
      <c r="D119" s="30" t="s">
        <v>18</v>
      </c>
      <c r="E119" s="31">
        <v>743.17</v>
      </c>
      <c r="F119" s="30">
        <v>9</v>
      </c>
      <c r="G119" s="32">
        <v>0</v>
      </c>
      <c r="H119" s="33">
        <v>45416</v>
      </c>
      <c r="I119" s="34">
        <v>297.27</v>
      </c>
      <c r="J119" s="30" t="str">
        <f t="shared" si="6"/>
        <v>May-2024</v>
      </c>
      <c r="K119" s="35">
        <f t="shared" ca="1" si="7"/>
        <v>46295.551106250001</v>
      </c>
    </row>
    <row r="120" spans="1:11">
      <c r="A120" s="30" t="s">
        <v>75</v>
      </c>
      <c r="B120" s="30" t="s">
        <v>57</v>
      </c>
      <c r="C120" s="30" t="s">
        <v>38</v>
      </c>
      <c r="D120" s="30" t="s">
        <v>41</v>
      </c>
      <c r="E120" s="31">
        <v>840.92</v>
      </c>
      <c r="F120" s="30">
        <v>9</v>
      </c>
      <c r="G120" s="32">
        <v>0.05</v>
      </c>
      <c r="H120" s="33">
        <v>45429</v>
      </c>
      <c r="I120" s="34">
        <v>359.49</v>
      </c>
      <c r="J120" s="30" t="str">
        <f t="shared" si="6"/>
        <v>May-2024</v>
      </c>
      <c r="K120" s="35">
        <f t="shared" ca="1" si="7"/>
        <v>46295.551106250001</v>
      </c>
    </row>
    <row r="121" spans="1:11">
      <c r="A121" s="30" t="s">
        <v>75</v>
      </c>
      <c r="B121" s="30" t="s">
        <v>56</v>
      </c>
      <c r="C121" s="30" t="s">
        <v>26</v>
      </c>
      <c r="D121" s="30" t="s">
        <v>29</v>
      </c>
      <c r="E121" s="31">
        <v>1301.8900000000001</v>
      </c>
      <c r="F121" s="30">
        <v>7</v>
      </c>
      <c r="G121" s="32">
        <v>0.15</v>
      </c>
      <c r="H121" s="33">
        <v>45581</v>
      </c>
      <c r="I121" s="34">
        <v>553.29999999999995</v>
      </c>
      <c r="J121" s="30" t="str">
        <f t="shared" si="6"/>
        <v>Oct-2024</v>
      </c>
      <c r="K121" s="35">
        <f t="shared" ca="1" si="7"/>
        <v>46295.551106250001</v>
      </c>
    </row>
    <row r="122" spans="1:11">
      <c r="A122" s="30" t="s">
        <v>75</v>
      </c>
      <c r="B122" s="30" t="s">
        <v>49</v>
      </c>
      <c r="C122" s="30" t="s">
        <v>35</v>
      </c>
      <c r="D122" s="30" t="s">
        <v>15</v>
      </c>
      <c r="E122" s="31">
        <v>718.04</v>
      </c>
      <c r="F122" s="30">
        <v>14</v>
      </c>
      <c r="G122" s="32">
        <v>0</v>
      </c>
      <c r="H122" s="33">
        <v>45613</v>
      </c>
      <c r="I122" s="34">
        <v>179.51</v>
      </c>
      <c r="J122" s="30" t="str">
        <f t="shared" si="6"/>
        <v>Nov-2024</v>
      </c>
      <c r="K122" s="35">
        <f t="shared" ca="1" si="7"/>
        <v>46295.551106250001</v>
      </c>
    </row>
    <row r="123" spans="1:11">
      <c r="A123" s="30" t="s">
        <v>76</v>
      </c>
      <c r="B123" s="30" t="s">
        <v>57</v>
      </c>
      <c r="C123" s="30" t="s">
        <v>14</v>
      </c>
      <c r="D123" s="30" t="s">
        <v>21</v>
      </c>
      <c r="E123" s="31">
        <v>1371.34</v>
      </c>
      <c r="F123" s="30">
        <v>5</v>
      </c>
      <c r="G123" s="32">
        <v>0.05</v>
      </c>
      <c r="H123" s="33">
        <v>45488</v>
      </c>
      <c r="I123" s="34">
        <v>455.97</v>
      </c>
      <c r="J123" s="30" t="str">
        <f t="shared" si="6"/>
        <v>Jul-2024</v>
      </c>
      <c r="K123" s="35">
        <f t="shared" ca="1" si="7"/>
        <v>46295.551106250001</v>
      </c>
    </row>
    <row r="124" spans="1:11">
      <c r="A124" s="30" t="s">
        <v>76</v>
      </c>
      <c r="B124" s="30" t="s">
        <v>46</v>
      </c>
      <c r="C124" s="30" t="s">
        <v>35</v>
      </c>
      <c r="D124" s="30" t="s">
        <v>41</v>
      </c>
      <c r="E124" s="31">
        <v>981.2</v>
      </c>
      <c r="F124" s="30">
        <v>19</v>
      </c>
      <c r="G124" s="32">
        <v>0</v>
      </c>
      <c r="H124" s="33">
        <v>45504</v>
      </c>
      <c r="I124" s="34">
        <v>441.54</v>
      </c>
      <c r="J124" s="30" t="str">
        <f t="shared" si="6"/>
        <v>Jul-2024</v>
      </c>
      <c r="K124" s="35">
        <f t="shared" ca="1" si="7"/>
        <v>46295.551106250001</v>
      </c>
    </row>
    <row r="125" spans="1:11">
      <c r="A125" s="30" t="s">
        <v>76</v>
      </c>
      <c r="B125" s="30" t="s">
        <v>56</v>
      </c>
      <c r="C125" s="30" t="s">
        <v>38</v>
      </c>
      <c r="D125" s="30" t="s">
        <v>21</v>
      </c>
      <c r="E125" s="31">
        <v>1143.69</v>
      </c>
      <c r="F125" s="30">
        <v>17</v>
      </c>
      <c r="G125" s="32">
        <v>0</v>
      </c>
      <c r="H125" s="33">
        <v>45534</v>
      </c>
      <c r="I125" s="34">
        <v>400.29</v>
      </c>
      <c r="J125" s="30" t="str">
        <f t="shared" si="6"/>
        <v>Aug-2024</v>
      </c>
      <c r="K125" s="35">
        <f t="shared" ca="1" si="7"/>
        <v>46295.551106250001</v>
      </c>
    </row>
    <row r="126" spans="1:11">
      <c r="A126" s="30" t="s">
        <v>76</v>
      </c>
      <c r="B126" s="30" t="s">
        <v>49</v>
      </c>
      <c r="C126" s="30" t="s">
        <v>35</v>
      </c>
      <c r="D126" s="30" t="s">
        <v>18</v>
      </c>
      <c r="E126" s="31">
        <v>917.48</v>
      </c>
      <c r="F126" s="30">
        <v>6</v>
      </c>
      <c r="G126" s="32">
        <v>0</v>
      </c>
      <c r="H126" s="33">
        <v>45558</v>
      </c>
      <c r="I126" s="34">
        <v>366.99</v>
      </c>
      <c r="J126" s="30" t="str">
        <f t="shared" si="6"/>
        <v>Sep-2024</v>
      </c>
      <c r="K126" s="35">
        <f t="shared" ca="1" si="7"/>
        <v>46295.551106250001</v>
      </c>
    </row>
    <row r="127" spans="1:11">
      <c r="A127" s="30" t="s">
        <v>77</v>
      </c>
      <c r="B127" s="30" t="s">
        <v>24</v>
      </c>
      <c r="C127" s="30" t="s">
        <v>35</v>
      </c>
      <c r="D127" s="30" t="s">
        <v>15</v>
      </c>
      <c r="E127" s="31">
        <v>967.89</v>
      </c>
      <c r="F127" s="30">
        <v>10</v>
      </c>
      <c r="G127" s="32">
        <v>0.1</v>
      </c>
      <c r="H127" s="33">
        <v>45429</v>
      </c>
      <c r="I127" s="34">
        <v>217.78</v>
      </c>
      <c r="J127" s="30" t="str">
        <f t="shared" si="6"/>
        <v>May-2024</v>
      </c>
      <c r="K127" s="35">
        <f t="shared" ca="1" si="7"/>
        <v>46295.551106250001</v>
      </c>
    </row>
    <row r="128" spans="1:11">
      <c r="A128" s="30" t="s">
        <v>77</v>
      </c>
      <c r="B128" s="30" t="s">
        <v>45</v>
      </c>
      <c r="C128" s="30" t="s">
        <v>26</v>
      </c>
      <c r="D128" s="30" t="s">
        <v>18</v>
      </c>
      <c r="E128" s="31">
        <v>840.85</v>
      </c>
      <c r="F128" s="30">
        <v>19</v>
      </c>
      <c r="G128" s="32">
        <v>0.1</v>
      </c>
      <c r="H128" s="33">
        <v>45448</v>
      </c>
      <c r="I128" s="34">
        <v>302.70999999999998</v>
      </c>
      <c r="J128" s="30" t="str">
        <f t="shared" si="6"/>
        <v>Jun-2024</v>
      </c>
      <c r="K128" s="35">
        <f t="shared" ca="1" si="7"/>
        <v>46295.551106250001</v>
      </c>
    </row>
    <row r="129" spans="1:11">
      <c r="A129" s="30" t="s">
        <v>77</v>
      </c>
      <c r="B129" s="30" t="s">
        <v>25</v>
      </c>
      <c r="C129" s="30" t="s">
        <v>38</v>
      </c>
      <c r="D129" s="30" t="s">
        <v>21</v>
      </c>
      <c r="E129" s="31">
        <v>1186.8499999999999</v>
      </c>
      <c r="F129" s="30">
        <v>19</v>
      </c>
      <c r="G129" s="32">
        <v>0.2</v>
      </c>
      <c r="H129" s="33">
        <v>45451</v>
      </c>
      <c r="I129" s="34">
        <v>332.32</v>
      </c>
      <c r="J129" s="30" t="str">
        <f t="shared" si="6"/>
        <v>Jun-2024</v>
      </c>
      <c r="K129" s="35">
        <f t="shared" ca="1" si="7"/>
        <v>46295.551106250001</v>
      </c>
    </row>
    <row r="130" spans="1:11">
      <c r="A130" s="30" t="s">
        <v>77</v>
      </c>
      <c r="B130" s="30" t="s">
        <v>34</v>
      </c>
      <c r="C130" s="30" t="s">
        <v>38</v>
      </c>
      <c r="D130" s="30" t="s">
        <v>18</v>
      </c>
      <c r="E130" s="31">
        <v>1383.3</v>
      </c>
      <c r="F130" s="30">
        <v>8</v>
      </c>
      <c r="G130" s="32">
        <v>0.1</v>
      </c>
      <c r="H130" s="33">
        <v>45478</v>
      </c>
      <c r="I130" s="34">
        <v>497.99</v>
      </c>
      <c r="J130" s="30" t="str">
        <f t="shared" ref="J130:J161" si="8">TEXT(H130,"mmm-yyyy")</f>
        <v>Jul-2024</v>
      </c>
      <c r="K130" s="35">
        <f t="shared" ref="K130:K161" ca="1" si="9">NOW()</f>
        <v>46295.551106250001</v>
      </c>
    </row>
    <row r="131" spans="1:11">
      <c r="A131" s="30" t="s">
        <v>77</v>
      </c>
      <c r="B131" s="30" t="s">
        <v>20</v>
      </c>
      <c r="C131" s="30" t="s">
        <v>23</v>
      </c>
      <c r="D131" s="30" t="s">
        <v>15</v>
      </c>
      <c r="E131" s="31">
        <v>1020.26</v>
      </c>
      <c r="F131" s="30">
        <v>11</v>
      </c>
      <c r="G131" s="32">
        <v>0.05</v>
      </c>
      <c r="H131" s="33">
        <v>45494</v>
      </c>
      <c r="I131" s="34">
        <v>242.31</v>
      </c>
      <c r="J131" s="30" t="str">
        <f t="shared" si="8"/>
        <v>Jul-2024</v>
      </c>
      <c r="K131" s="35">
        <f t="shared" ca="1" si="9"/>
        <v>46295.551106250001</v>
      </c>
    </row>
    <row r="132" spans="1:11">
      <c r="A132" s="30" t="s">
        <v>77</v>
      </c>
      <c r="B132" s="30" t="s">
        <v>45</v>
      </c>
      <c r="C132" s="30" t="s">
        <v>23</v>
      </c>
      <c r="D132" s="30" t="s">
        <v>29</v>
      </c>
      <c r="E132" s="31">
        <v>1205.82</v>
      </c>
      <c r="F132" s="30">
        <v>11</v>
      </c>
      <c r="G132" s="32">
        <v>0.1</v>
      </c>
      <c r="H132" s="33">
        <v>45559</v>
      </c>
      <c r="I132" s="34">
        <v>542.62</v>
      </c>
      <c r="J132" s="30" t="str">
        <f t="shared" si="8"/>
        <v>Sep-2024</v>
      </c>
      <c r="K132" s="35">
        <f t="shared" ca="1" si="9"/>
        <v>46295.551106250001</v>
      </c>
    </row>
    <row r="133" spans="1:11">
      <c r="A133" s="30" t="s">
        <v>77</v>
      </c>
      <c r="B133" s="30" t="s">
        <v>43</v>
      </c>
      <c r="C133" s="30" t="s">
        <v>26</v>
      </c>
      <c r="D133" s="30" t="s">
        <v>18</v>
      </c>
      <c r="E133" s="31">
        <v>1150.28</v>
      </c>
      <c r="F133" s="30">
        <v>8</v>
      </c>
      <c r="G133" s="32">
        <v>0.05</v>
      </c>
      <c r="H133" s="33">
        <v>45622</v>
      </c>
      <c r="I133" s="34">
        <v>437.11</v>
      </c>
      <c r="J133" s="30" t="str">
        <f t="shared" si="8"/>
        <v>Nov-2024</v>
      </c>
      <c r="K133" s="35">
        <f t="shared" ca="1" si="9"/>
        <v>46295.551106250001</v>
      </c>
    </row>
    <row r="134" spans="1:11">
      <c r="A134" s="30" t="s">
        <v>77</v>
      </c>
      <c r="B134" s="30" t="s">
        <v>57</v>
      </c>
      <c r="C134" s="30" t="s">
        <v>14</v>
      </c>
      <c r="D134" s="30" t="s">
        <v>21</v>
      </c>
      <c r="E134" s="31">
        <v>984.93</v>
      </c>
      <c r="F134" s="30">
        <v>14</v>
      </c>
      <c r="G134" s="32">
        <v>0.2</v>
      </c>
      <c r="H134" s="33">
        <v>45733</v>
      </c>
      <c r="I134" s="34">
        <v>275.77999999999997</v>
      </c>
      <c r="J134" s="30" t="str">
        <f t="shared" si="8"/>
        <v>Mar-2025</v>
      </c>
      <c r="K134" s="35">
        <f t="shared" ca="1" si="9"/>
        <v>46295.551106250001</v>
      </c>
    </row>
    <row r="135" spans="1:11">
      <c r="A135" s="30" t="s">
        <v>78</v>
      </c>
      <c r="B135" s="30" t="s">
        <v>51</v>
      </c>
      <c r="C135" s="30" t="s">
        <v>23</v>
      </c>
      <c r="D135" s="30" t="s">
        <v>15</v>
      </c>
      <c r="E135" s="31">
        <v>388.56</v>
      </c>
      <c r="F135" s="30">
        <v>14</v>
      </c>
      <c r="G135" s="32">
        <v>0.15</v>
      </c>
      <c r="H135" s="33">
        <v>45416</v>
      </c>
      <c r="I135" s="34">
        <v>82.57</v>
      </c>
      <c r="J135" s="30" t="str">
        <f t="shared" si="8"/>
        <v>May-2024</v>
      </c>
      <c r="K135" s="35">
        <f t="shared" ca="1" si="9"/>
        <v>46295.551106250001</v>
      </c>
    </row>
    <row r="136" spans="1:11">
      <c r="A136" s="30" t="s">
        <v>78</v>
      </c>
      <c r="B136" s="30" t="s">
        <v>62</v>
      </c>
      <c r="C136" s="30" t="s">
        <v>26</v>
      </c>
      <c r="D136" s="30" t="s">
        <v>18</v>
      </c>
      <c r="E136" s="31">
        <v>1023.21</v>
      </c>
      <c r="F136" s="30">
        <v>18</v>
      </c>
      <c r="G136" s="32">
        <v>0.05</v>
      </c>
      <c r="H136" s="33">
        <v>45428</v>
      </c>
      <c r="I136" s="34">
        <v>388.82</v>
      </c>
      <c r="J136" s="30" t="str">
        <f t="shared" si="8"/>
        <v>May-2024</v>
      </c>
      <c r="K136" s="35">
        <f t="shared" ca="1" si="9"/>
        <v>46295.551106250001</v>
      </c>
    </row>
    <row r="137" spans="1:11">
      <c r="A137" s="30" t="s">
        <v>78</v>
      </c>
      <c r="B137" s="30" t="s">
        <v>37</v>
      </c>
      <c r="C137" s="30" t="s">
        <v>35</v>
      </c>
      <c r="D137" s="30" t="s">
        <v>18</v>
      </c>
      <c r="E137" s="31">
        <v>1264.49</v>
      </c>
      <c r="F137" s="30">
        <v>16</v>
      </c>
      <c r="G137" s="32">
        <v>0.05</v>
      </c>
      <c r="H137" s="33">
        <v>45549</v>
      </c>
      <c r="I137" s="34">
        <v>480.51</v>
      </c>
      <c r="J137" s="30" t="str">
        <f t="shared" si="8"/>
        <v>Sep-2024</v>
      </c>
      <c r="K137" s="35">
        <f t="shared" ca="1" si="9"/>
        <v>46295.551106250001</v>
      </c>
    </row>
    <row r="138" spans="1:11">
      <c r="A138" s="30" t="s">
        <v>78</v>
      </c>
      <c r="B138" s="30" t="s">
        <v>17</v>
      </c>
      <c r="C138" s="30" t="s">
        <v>26</v>
      </c>
      <c r="D138" s="30" t="s">
        <v>41</v>
      </c>
      <c r="E138" s="31">
        <v>388.23</v>
      </c>
      <c r="F138" s="30">
        <v>16</v>
      </c>
      <c r="G138" s="32">
        <v>0.05</v>
      </c>
      <c r="H138" s="33">
        <v>45650</v>
      </c>
      <c r="I138" s="34">
        <v>165.97</v>
      </c>
      <c r="J138" s="30" t="str">
        <f t="shared" si="8"/>
        <v>Dec-2024</v>
      </c>
      <c r="K138" s="35">
        <f t="shared" ca="1" si="9"/>
        <v>46295.551106250001</v>
      </c>
    </row>
    <row r="139" spans="1:11">
      <c r="A139" s="30" t="s">
        <v>78</v>
      </c>
      <c r="B139" s="30" t="s">
        <v>45</v>
      </c>
      <c r="C139" s="30" t="s">
        <v>14</v>
      </c>
      <c r="D139" s="30" t="s">
        <v>18</v>
      </c>
      <c r="E139" s="31">
        <v>1353.79</v>
      </c>
      <c r="F139" s="30">
        <v>14</v>
      </c>
      <c r="G139" s="32">
        <v>0.1</v>
      </c>
      <c r="H139" s="33">
        <v>45656</v>
      </c>
      <c r="I139" s="34">
        <v>487.36</v>
      </c>
      <c r="J139" s="30" t="str">
        <f t="shared" si="8"/>
        <v>Dec-2024</v>
      </c>
      <c r="K139" s="35">
        <f t="shared" ca="1" si="9"/>
        <v>46295.551106250001</v>
      </c>
    </row>
    <row r="140" spans="1:11">
      <c r="A140" s="30" t="s">
        <v>79</v>
      </c>
      <c r="B140" s="30" t="s">
        <v>51</v>
      </c>
      <c r="C140" s="30" t="s">
        <v>14</v>
      </c>
      <c r="D140" s="30" t="s">
        <v>21</v>
      </c>
      <c r="E140" s="31">
        <v>822.28</v>
      </c>
      <c r="F140" s="30">
        <v>7</v>
      </c>
      <c r="G140" s="32">
        <v>0.05</v>
      </c>
      <c r="H140" s="33">
        <v>45406</v>
      </c>
      <c r="I140" s="34">
        <v>273.41000000000003</v>
      </c>
      <c r="J140" s="30" t="str">
        <f t="shared" si="8"/>
        <v>Apr-2024</v>
      </c>
      <c r="K140" s="35">
        <f t="shared" ca="1" si="9"/>
        <v>46295.551106250001</v>
      </c>
    </row>
    <row r="141" spans="1:11">
      <c r="A141" s="30" t="s">
        <v>79</v>
      </c>
      <c r="B141" s="30" t="s">
        <v>34</v>
      </c>
      <c r="C141" s="30" t="s">
        <v>26</v>
      </c>
      <c r="D141" s="30" t="s">
        <v>15</v>
      </c>
      <c r="E141" s="31">
        <v>706.37</v>
      </c>
      <c r="F141" s="30">
        <v>6</v>
      </c>
      <c r="G141" s="32">
        <v>0</v>
      </c>
      <c r="H141" s="33">
        <v>45416</v>
      </c>
      <c r="I141" s="34">
        <v>176.59</v>
      </c>
      <c r="J141" s="30" t="str">
        <f t="shared" si="8"/>
        <v>May-2024</v>
      </c>
      <c r="K141" s="35">
        <f t="shared" ca="1" si="9"/>
        <v>46295.551106250001</v>
      </c>
    </row>
    <row r="142" spans="1:11">
      <c r="A142" s="30" t="s">
        <v>79</v>
      </c>
      <c r="B142" s="30" t="s">
        <v>62</v>
      </c>
      <c r="C142" s="30" t="s">
        <v>38</v>
      </c>
      <c r="D142" s="30" t="s">
        <v>41</v>
      </c>
      <c r="E142" s="31">
        <v>556.41999999999996</v>
      </c>
      <c r="F142" s="30">
        <v>11</v>
      </c>
      <c r="G142" s="32">
        <v>0.15</v>
      </c>
      <c r="H142" s="33">
        <v>45447</v>
      </c>
      <c r="I142" s="34">
        <v>212.83</v>
      </c>
      <c r="J142" s="30" t="str">
        <f t="shared" si="8"/>
        <v>Jun-2024</v>
      </c>
      <c r="K142" s="35">
        <f t="shared" ca="1" si="9"/>
        <v>46295.551106250001</v>
      </c>
    </row>
    <row r="143" spans="1:11">
      <c r="A143" s="30" t="s">
        <v>79</v>
      </c>
      <c r="B143" s="30" t="s">
        <v>57</v>
      </c>
      <c r="C143" s="30" t="s">
        <v>38</v>
      </c>
      <c r="D143" s="30" t="s">
        <v>21</v>
      </c>
      <c r="E143" s="31">
        <v>873.7</v>
      </c>
      <c r="F143" s="30">
        <v>9</v>
      </c>
      <c r="G143" s="32">
        <v>0</v>
      </c>
      <c r="H143" s="33">
        <v>45546</v>
      </c>
      <c r="I143" s="34">
        <v>305.8</v>
      </c>
      <c r="J143" s="30" t="str">
        <f t="shared" si="8"/>
        <v>Sep-2024</v>
      </c>
      <c r="K143" s="35">
        <f t="shared" ca="1" si="9"/>
        <v>46295.551106250001</v>
      </c>
    </row>
    <row r="144" spans="1:11">
      <c r="A144" s="30" t="s">
        <v>79</v>
      </c>
      <c r="B144" s="30" t="s">
        <v>45</v>
      </c>
      <c r="C144" s="30" t="s">
        <v>38</v>
      </c>
      <c r="D144" s="30" t="s">
        <v>41</v>
      </c>
      <c r="E144" s="31">
        <v>1154.33</v>
      </c>
      <c r="F144" s="30">
        <v>11</v>
      </c>
      <c r="G144" s="32">
        <v>0.15</v>
      </c>
      <c r="H144" s="33">
        <v>45549</v>
      </c>
      <c r="I144" s="34">
        <v>441.53</v>
      </c>
      <c r="J144" s="30" t="str">
        <f t="shared" si="8"/>
        <v>Sep-2024</v>
      </c>
      <c r="K144" s="35">
        <f t="shared" ca="1" si="9"/>
        <v>46295.551106250001</v>
      </c>
    </row>
    <row r="145" spans="1:11">
      <c r="A145" s="30" t="s">
        <v>79</v>
      </c>
      <c r="B145" s="30" t="s">
        <v>49</v>
      </c>
      <c r="C145" s="30" t="s">
        <v>35</v>
      </c>
      <c r="D145" s="30" t="s">
        <v>29</v>
      </c>
      <c r="E145" s="31">
        <v>1118.3399999999999</v>
      </c>
      <c r="F145" s="30">
        <v>6</v>
      </c>
      <c r="G145" s="32">
        <v>0.2</v>
      </c>
      <c r="H145" s="33">
        <v>45674</v>
      </c>
      <c r="I145" s="34">
        <v>447.34</v>
      </c>
      <c r="J145" s="30" t="str">
        <f t="shared" si="8"/>
        <v>Jan-2025</v>
      </c>
      <c r="K145" s="35">
        <f t="shared" ca="1" si="9"/>
        <v>46295.551106250001</v>
      </c>
    </row>
    <row r="146" spans="1:11">
      <c r="A146" s="30" t="s">
        <v>79</v>
      </c>
      <c r="B146" s="30" t="s">
        <v>60</v>
      </c>
      <c r="C146" s="30" t="s">
        <v>35</v>
      </c>
      <c r="D146" s="30" t="s">
        <v>29</v>
      </c>
      <c r="E146" s="31">
        <v>682.24</v>
      </c>
      <c r="F146" s="30">
        <v>1</v>
      </c>
      <c r="G146" s="32">
        <v>0</v>
      </c>
      <c r="H146" s="33">
        <v>45738</v>
      </c>
      <c r="I146" s="34">
        <v>341.12</v>
      </c>
      <c r="J146" s="30" t="str">
        <f t="shared" si="8"/>
        <v>Mar-2025</v>
      </c>
      <c r="K146" s="35">
        <f t="shared" ca="1" si="9"/>
        <v>46295.551106250001</v>
      </c>
    </row>
    <row r="147" spans="1:11">
      <c r="A147" s="30" t="s">
        <v>80</v>
      </c>
      <c r="B147" s="30" t="s">
        <v>57</v>
      </c>
      <c r="C147" s="30" t="s">
        <v>38</v>
      </c>
      <c r="D147" s="30" t="s">
        <v>15</v>
      </c>
      <c r="E147" s="31">
        <v>539.77</v>
      </c>
      <c r="F147" s="30">
        <v>10</v>
      </c>
      <c r="G147" s="32">
        <v>0.15</v>
      </c>
      <c r="H147" s="33">
        <v>45509</v>
      </c>
      <c r="I147" s="34">
        <v>114.7</v>
      </c>
      <c r="J147" s="30" t="str">
        <f t="shared" si="8"/>
        <v>Aug-2024</v>
      </c>
      <c r="K147" s="35">
        <f t="shared" ca="1" si="9"/>
        <v>46295.551106250001</v>
      </c>
    </row>
    <row r="148" spans="1:11">
      <c r="A148" s="30" t="s">
        <v>80</v>
      </c>
      <c r="B148" s="30" t="s">
        <v>43</v>
      </c>
      <c r="C148" s="30" t="s">
        <v>14</v>
      </c>
      <c r="D148" s="30" t="s">
        <v>15</v>
      </c>
      <c r="E148" s="31">
        <v>1526.6</v>
      </c>
      <c r="F148" s="30">
        <v>13</v>
      </c>
      <c r="G148" s="32">
        <v>0.2</v>
      </c>
      <c r="H148" s="33">
        <v>45512</v>
      </c>
      <c r="I148" s="34">
        <v>305.32</v>
      </c>
      <c r="J148" s="30" t="str">
        <f t="shared" si="8"/>
        <v>Aug-2024</v>
      </c>
      <c r="K148" s="35">
        <f t="shared" ca="1" si="9"/>
        <v>46295.551106250001</v>
      </c>
    </row>
    <row r="149" spans="1:11">
      <c r="A149" s="30" t="s">
        <v>80</v>
      </c>
      <c r="B149" s="30" t="s">
        <v>58</v>
      </c>
      <c r="C149" s="30" t="s">
        <v>38</v>
      </c>
      <c r="D149" s="30" t="s">
        <v>18</v>
      </c>
      <c r="E149" s="31">
        <v>980.18</v>
      </c>
      <c r="F149" s="30">
        <v>16</v>
      </c>
      <c r="G149" s="32">
        <v>0.1</v>
      </c>
      <c r="H149" s="33">
        <v>45582</v>
      </c>
      <c r="I149" s="34">
        <v>352.86</v>
      </c>
      <c r="J149" s="30" t="str">
        <f t="shared" si="8"/>
        <v>Oct-2024</v>
      </c>
      <c r="K149" s="35">
        <f t="shared" ca="1" si="9"/>
        <v>46295.551106250001</v>
      </c>
    </row>
    <row r="150" spans="1:11">
      <c r="A150" s="30" t="s">
        <v>80</v>
      </c>
      <c r="B150" s="30" t="s">
        <v>45</v>
      </c>
      <c r="C150" s="30" t="s">
        <v>23</v>
      </c>
      <c r="D150" s="30" t="s">
        <v>15</v>
      </c>
      <c r="E150" s="31">
        <v>706.73</v>
      </c>
      <c r="F150" s="30">
        <v>1</v>
      </c>
      <c r="G150" s="32">
        <v>0.15</v>
      </c>
      <c r="H150" s="33">
        <v>45613</v>
      </c>
      <c r="I150" s="34">
        <v>150.18</v>
      </c>
      <c r="J150" s="30" t="str">
        <f t="shared" si="8"/>
        <v>Nov-2024</v>
      </c>
      <c r="K150" s="35">
        <f t="shared" ca="1" si="9"/>
        <v>46295.551106250001</v>
      </c>
    </row>
    <row r="151" spans="1:11">
      <c r="A151" s="30" t="s">
        <v>80</v>
      </c>
      <c r="B151" s="30" t="s">
        <v>53</v>
      </c>
      <c r="C151" s="30" t="s">
        <v>23</v>
      </c>
      <c r="D151" s="30" t="s">
        <v>29</v>
      </c>
      <c r="E151" s="31">
        <v>1622.62</v>
      </c>
      <c r="F151" s="30">
        <v>12</v>
      </c>
      <c r="G151" s="32">
        <v>0.2</v>
      </c>
      <c r="H151" s="33">
        <v>45677</v>
      </c>
      <c r="I151" s="34">
        <v>649.04999999999995</v>
      </c>
      <c r="J151" s="30" t="str">
        <f t="shared" si="8"/>
        <v>Jan-2025</v>
      </c>
      <c r="K151" s="35">
        <f t="shared" ca="1" si="9"/>
        <v>46295.551106250001</v>
      </c>
    </row>
    <row r="152" spans="1:11">
      <c r="A152" s="30" t="s">
        <v>80</v>
      </c>
      <c r="B152" s="30" t="s">
        <v>13</v>
      </c>
      <c r="C152" s="30" t="s">
        <v>26</v>
      </c>
      <c r="D152" s="30" t="s">
        <v>29</v>
      </c>
      <c r="E152" s="31">
        <v>741.88</v>
      </c>
      <c r="F152" s="30">
        <v>16</v>
      </c>
      <c r="G152" s="32">
        <v>0.1</v>
      </c>
      <c r="H152" s="33">
        <v>45695</v>
      </c>
      <c r="I152" s="34">
        <v>333.85</v>
      </c>
      <c r="J152" s="30" t="str">
        <f t="shared" si="8"/>
        <v>Feb-2025</v>
      </c>
      <c r="K152" s="35">
        <f t="shared" ca="1" si="9"/>
        <v>46295.551106250001</v>
      </c>
    </row>
    <row r="153" spans="1:11">
      <c r="A153" s="30" t="s">
        <v>80</v>
      </c>
      <c r="B153" s="30" t="s">
        <v>65</v>
      </c>
      <c r="C153" s="30" t="s">
        <v>26</v>
      </c>
      <c r="D153" s="30" t="s">
        <v>29</v>
      </c>
      <c r="E153" s="31">
        <v>1465.35</v>
      </c>
      <c r="F153" s="30">
        <v>8</v>
      </c>
      <c r="G153" s="32">
        <v>0.2</v>
      </c>
      <c r="H153" s="33">
        <v>45746</v>
      </c>
      <c r="I153" s="34">
        <v>586.14</v>
      </c>
      <c r="J153" s="30" t="str">
        <f t="shared" si="8"/>
        <v>Mar-2025</v>
      </c>
      <c r="K153" s="35">
        <f t="shared" ca="1" si="9"/>
        <v>46295.551106250001</v>
      </c>
    </row>
    <row r="154" spans="1:11">
      <c r="A154" s="30" t="s">
        <v>81</v>
      </c>
      <c r="B154" s="30" t="s">
        <v>57</v>
      </c>
      <c r="C154" s="30" t="s">
        <v>23</v>
      </c>
      <c r="D154" s="30" t="s">
        <v>15</v>
      </c>
      <c r="E154" s="31">
        <v>1450.71</v>
      </c>
      <c r="F154" s="30">
        <v>5</v>
      </c>
      <c r="G154" s="32">
        <v>0.1</v>
      </c>
      <c r="H154" s="33">
        <v>45427</v>
      </c>
      <c r="I154" s="34">
        <v>326.41000000000003</v>
      </c>
      <c r="J154" s="30" t="str">
        <f t="shared" si="8"/>
        <v>May-2024</v>
      </c>
      <c r="K154" s="35">
        <f t="shared" ca="1" si="9"/>
        <v>46295.551106250001</v>
      </c>
    </row>
    <row r="155" spans="1:11">
      <c r="A155" s="30" t="s">
        <v>81</v>
      </c>
      <c r="B155" s="30" t="s">
        <v>62</v>
      </c>
      <c r="C155" s="30" t="s">
        <v>26</v>
      </c>
      <c r="D155" s="30" t="s">
        <v>41</v>
      </c>
      <c r="E155" s="31">
        <v>1225.42</v>
      </c>
      <c r="F155" s="30">
        <v>8</v>
      </c>
      <c r="G155" s="32">
        <v>0.15</v>
      </c>
      <c r="H155" s="33">
        <v>45449</v>
      </c>
      <c r="I155" s="34">
        <v>468.72</v>
      </c>
      <c r="J155" s="30" t="str">
        <f t="shared" si="8"/>
        <v>Jun-2024</v>
      </c>
      <c r="K155" s="35">
        <f t="shared" ca="1" si="9"/>
        <v>46295.551106250001</v>
      </c>
    </row>
    <row r="156" spans="1:11">
      <c r="A156" s="30" t="s">
        <v>81</v>
      </c>
      <c r="B156" s="30" t="s">
        <v>20</v>
      </c>
      <c r="C156" s="30" t="s">
        <v>38</v>
      </c>
      <c r="D156" s="30" t="s">
        <v>21</v>
      </c>
      <c r="E156" s="31">
        <v>1286.54</v>
      </c>
      <c r="F156" s="30">
        <v>8</v>
      </c>
      <c r="G156" s="32">
        <v>0</v>
      </c>
      <c r="H156" s="33">
        <v>45575</v>
      </c>
      <c r="I156" s="34">
        <v>450.29</v>
      </c>
      <c r="J156" s="30" t="str">
        <f t="shared" si="8"/>
        <v>Oct-2024</v>
      </c>
      <c r="K156" s="35">
        <f t="shared" ca="1" si="9"/>
        <v>46295.551106250001</v>
      </c>
    </row>
    <row r="157" spans="1:11">
      <c r="A157" s="30" t="s">
        <v>81</v>
      </c>
      <c r="B157" s="30" t="s">
        <v>58</v>
      </c>
      <c r="C157" s="30" t="s">
        <v>26</v>
      </c>
      <c r="D157" s="30" t="s">
        <v>29</v>
      </c>
      <c r="E157" s="31">
        <v>728.71</v>
      </c>
      <c r="F157" s="30">
        <v>14</v>
      </c>
      <c r="G157" s="32">
        <v>0.1</v>
      </c>
      <c r="H157" s="33">
        <v>45581</v>
      </c>
      <c r="I157" s="34">
        <v>327.92</v>
      </c>
      <c r="J157" s="30" t="str">
        <f t="shared" si="8"/>
        <v>Oct-2024</v>
      </c>
      <c r="K157" s="35">
        <f t="shared" ca="1" si="9"/>
        <v>46295.551106250001</v>
      </c>
    </row>
    <row r="158" spans="1:11">
      <c r="A158" s="30" t="s">
        <v>81</v>
      </c>
      <c r="B158" s="30" t="s">
        <v>32</v>
      </c>
      <c r="C158" s="30" t="s">
        <v>38</v>
      </c>
      <c r="D158" s="30" t="s">
        <v>18</v>
      </c>
      <c r="E158" s="31">
        <v>1010.58</v>
      </c>
      <c r="F158" s="30">
        <v>2</v>
      </c>
      <c r="G158" s="32">
        <v>0.15</v>
      </c>
      <c r="H158" s="33">
        <v>45605</v>
      </c>
      <c r="I158" s="34">
        <v>343.6</v>
      </c>
      <c r="J158" s="30" t="str">
        <f t="shared" si="8"/>
        <v>Nov-2024</v>
      </c>
      <c r="K158" s="35">
        <f t="shared" ca="1" si="9"/>
        <v>46295.551106250001</v>
      </c>
    </row>
    <row r="159" spans="1:11">
      <c r="A159" s="30" t="s">
        <v>81</v>
      </c>
      <c r="B159" s="30" t="s">
        <v>17</v>
      </c>
      <c r="C159" s="30" t="s">
        <v>38</v>
      </c>
      <c r="D159" s="30" t="s">
        <v>41</v>
      </c>
      <c r="E159" s="31">
        <v>1014.56</v>
      </c>
      <c r="F159" s="30">
        <v>10</v>
      </c>
      <c r="G159" s="32">
        <v>0.1</v>
      </c>
      <c r="H159" s="33">
        <v>45612</v>
      </c>
      <c r="I159" s="34">
        <v>410.9</v>
      </c>
      <c r="J159" s="30" t="str">
        <f t="shared" si="8"/>
        <v>Nov-2024</v>
      </c>
      <c r="K159" s="35">
        <f t="shared" ca="1" si="9"/>
        <v>46295.551106250001</v>
      </c>
    </row>
    <row r="160" spans="1:11">
      <c r="A160" s="30" t="s">
        <v>82</v>
      </c>
      <c r="B160" s="30" t="s">
        <v>34</v>
      </c>
      <c r="C160" s="30" t="s">
        <v>38</v>
      </c>
      <c r="D160" s="30" t="s">
        <v>21</v>
      </c>
      <c r="E160" s="31">
        <v>1074.47</v>
      </c>
      <c r="F160" s="30">
        <v>6</v>
      </c>
      <c r="G160" s="32">
        <v>0.2</v>
      </c>
      <c r="H160" s="33">
        <v>45401</v>
      </c>
      <c r="I160" s="34">
        <v>300.85000000000002</v>
      </c>
      <c r="J160" s="30" t="str">
        <f t="shared" si="8"/>
        <v>Apr-2024</v>
      </c>
      <c r="K160" s="35">
        <f t="shared" ca="1" si="9"/>
        <v>46295.551106250001</v>
      </c>
    </row>
    <row r="161" spans="1:11">
      <c r="A161" s="30" t="s">
        <v>82</v>
      </c>
      <c r="B161" s="30" t="s">
        <v>34</v>
      </c>
      <c r="C161" s="30" t="s">
        <v>26</v>
      </c>
      <c r="D161" s="30" t="s">
        <v>15</v>
      </c>
      <c r="E161" s="31">
        <v>645.02</v>
      </c>
      <c r="F161" s="30">
        <v>4</v>
      </c>
      <c r="G161" s="32">
        <v>0</v>
      </c>
      <c r="H161" s="33">
        <v>45414</v>
      </c>
      <c r="I161" s="34">
        <v>161.26</v>
      </c>
      <c r="J161" s="30" t="str">
        <f t="shared" si="8"/>
        <v>May-2024</v>
      </c>
      <c r="K161" s="35">
        <f t="shared" ca="1" si="9"/>
        <v>46295.551106250001</v>
      </c>
    </row>
    <row r="162" spans="1:11">
      <c r="A162" s="30" t="s">
        <v>82</v>
      </c>
      <c r="B162" s="30" t="s">
        <v>40</v>
      </c>
      <c r="C162" s="30" t="s">
        <v>23</v>
      </c>
      <c r="D162" s="30" t="s">
        <v>21</v>
      </c>
      <c r="E162" s="31">
        <v>1227.25</v>
      </c>
      <c r="F162" s="30">
        <v>12</v>
      </c>
      <c r="G162" s="32">
        <v>0.15</v>
      </c>
      <c r="H162" s="33">
        <v>45448</v>
      </c>
      <c r="I162" s="34">
        <v>365.11</v>
      </c>
      <c r="J162" s="30" t="str">
        <f t="shared" ref="J162:J193" si="10">TEXT(H162,"mmm-yyyy")</f>
        <v>Jun-2024</v>
      </c>
      <c r="K162" s="35">
        <f t="shared" ref="K162:K193" ca="1" si="11">NOW()</f>
        <v>46295.551106250001</v>
      </c>
    </row>
    <row r="163" spans="1:11">
      <c r="A163" s="30" t="s">
        <v>82</v>
      </c>
      <c r="B163" s="30" t="s">
        <v>34</v>
      </c>
      <c r="C163" s="30" t="s">
        <v>38</v>
      </c>
      <c r="D163" s="30" t="s">
        <v>21</v>
      </c>
      <c r="E163" s="31">
        <v>933.71</v>
      </c>
      <c r="F163" s="30">
        <v>17</v>
      </c>
      <c r="G163" s="32">
        <v>0.1</v>
      </c>
      <c r="H163" s="33">
        <v>45481</v>
      </c>
      <c r="I163" s="34">
        <v>294.12</v>
      </c>
      <c r="J163" s="30" t="str">
        <f t="shared" si="10"/>
        <v>Jul-2024</v>
      </c>
      <c r="K163" s="35">
        <f t="shared" ca="1" si="11"/>
        <v>46295.551106250001</v>
      </c>
    </row>
    <row r="164" spans="1:11">
      <c r="A164" s="30" t="s">
        <v>82</v>
      </c>
      <c r="B164" s="30" t="s">
        <v>13</v>
      </c>
      <c r="C164" s="30" t="s">
        <v>14</v>
      </c>
      <c r="D164" s="30" t="s">
        <v>41</v>
      </c>
      <c r="E164" s="31">
        <v>1111.3399999999999</v>
      </c>
      <c r="F164" s="30">
        <v>1</v>
      </c>
      <c r="G164" s="32">
        <v>0</v>
      </c>
      <c r="H164" s="33">
        <v>45523</v>
      </c>
      <c r="I164" s="34">
        <v>500.1</v>
      </c>
      <c r="J164" s="30" t="str">
        <f t="shared" si="10"/>
        <v>Aug-2024</v>
      </c>
      <c r="K164" s="35">
        <f t="shared" ca="1" si="11"/>
        <v>46295.551106250001</v>
      </c>
    </row>
    <row r="165" spans="1:11">
      <c r="A165" s="30" t="s">
        <v>82</v>
      </c>
      <c r="B165" s="30" t="s">
        <v>60</v>
      </c>
      <c r="C165" s="30" t="s">
        <v>23</v>
      </c>
      <c r="D165" s="30" t="s">
        <v>21</v>
      </c>
      <c r="E165" s="31">
        <v>957.29</v>
      </c>
      <c r="F165" s="30">
        <v>4</v>
      </c>
      <c r="G165" s="32">
        <v>0.05</v>
      </c>
      <c r="H165" s="33">
        <v>45605</v>
      </c>
      <c r="I165" s="34">
        <v>318.3</v>
      </c>
      <c r="J165" s="30" t="str">
        <f t="shared" si="10"/>
        <v>Nov-2024</v>
      </c>
      <c r="K165" s="35">
        <f t="shared" ca="1" si="11"/>
        <v>46295.551106250001</v>
      </c>
    </row>
    <row r="166" spans="1:11">
      <c r="A166" s="30" t="s">
        <v>82</v>
      </c>
      <c r="B166" s="30" t="s">
        <v>58</v>
      </c>
      <c r="C166" s="30" t="s">
        <v>38</v>
      </c>
      <c r="D166" s="30" t="s">
        <v>18</v>
      </c>
      <c r="E166" s="31">
        <v>1231.26</v>
      </c>
      <c r="F166" s="30">
        <v>9</v>
      </c>
      <c r="G166" s="32">
        <v>0</v>
      </c>
      <c r="H166" s="33">
        <v>45646</v>
      </c>
      <c r="I166" s="34">
        <v>492.5</v>
      </c>
      <c r="J166" s="30" t="str">
        <f t="shared" si="10"/>
        <v>Dec-2024</v>
      </c>
      <c r="K166" s="35">
        <f t="shared" ca="1" si="11"/>
        <v>46295.551106250001</v>
      </c>
    </row>
    <row r="167" spans="1:11">
      <c r="A167" s="30" t="s">
        <v>82</v>
      </c>
      <c r="B167" s="30" t="s">
        <v>24</v>
      </c>
      <c r="C167" s="30" t="s">
        <v>14</v>
      </c>
      <c r="D167" s="30" t="s">
        <v>15</v>
      </c>
      <c r="E167" s="31">
        <v>1161.67</v>
      </c>
      <c r="F167" s="30">
        <v>19</v>
      </c>
      <c r="G167" s="32">
        <v>0.2</v>
      </c>
      <c r="H167" s="33">
        <v>45647</v>
      </c>
      <c r="I167" s="34">
        <v>232.33</v>
      </c>
      <c r="J167" s="30" t="str">
        <f t="shared" si="10"/>
        <v>Dec-2024</v>
      </c>
      <c r="K167" s="35">
        <f t="shared" ca="1" si="11"/>
        <v>46295.551106250001</v>
      </c>
    </row>
    <row r="168" spans="1:11">
      <c r="A168" s="30" t="s">
        <v>82</v>
      </c>
      <c r="B168" s="30" t="s">
        <v>57</v>
      </c>
      <c r="C168" s="30" t="s">
        <v>14</v>
      </c>
      <c r="D168" s="30" t="s">
        <v>15</v>
      </c>
      <c r="E168" s="31">
        <v>1029.8</v>
      </c>
      <c r="F168" s="30">
        <v>3</v>
      </c>
      <c r="G168" s="32">
        <v>0</v>
      </c>
      <c r="H168" s="33">
        <v>45708</v>
      </c>
      <c r="I168" s="34">
        <v>257.45</v>
      </c>
      <c r="J168" s="30" t="str">
        <f t="shared" si="10"/>
        <v>Feb-2025</v>
      </c>
      <c r="K168" s="35">
        <f t="shared" ca="1" si="11"/>
        <v>46295.551106250001</v>
      </c>
    </row>
    <row r="169" spans="1:11">
      <c r="A169" s="30" t="s">
        <v>83</v>
      </c>
      <c r="B169" s="30" t="s">
        <v>43</v>
      </c>
      <c r="C169" s="30" t="s">
        <v>38</v>
      </c>
      <c r="D169" s="30" t="s">
        <v>41</v>
      </c>
      <c r="E169" s="31">
        <v>875.41</v>
      </c>
      <c r="F169" s="30">
        <v>13</v>
      </c>
      <c r="G169" s="32">
        <v>0.15</v>
      </c>
      <c r="H169" s="33">
        <v>45552</v>
      </c>
      <c r="I169" s="34">
        <v>334.84</v>
      </c>
      <c r="J169" s="30" t="str">
        <f t="shared" si="10"/>
        <v>Sep-2024</v>
      </c>
      <c r="K169" s="35">
        <f t="shared" ca="1" si="11"/>
        <v>46295.551106250001</v>
      </c>
    </row>
    <row r="170" spans="1:11">
      <c r="A170" s="30" t="s">
        <v>83</v>
      </c>
      <c r="B170" s="30" t="s">
        <v>43</v>
      </c>
      <c r="C170" s="30" t="s">
        <v>23</v>
      </c>
      <c r="D170" s="30" t="s">
        <v>18</v>
      </c>
      <c r="E170" s="31">
        <v>585.97</v>
      </c>
      <c r="F170" s="30">
        <v>17</v>
      </c>
      <c r="G170" s="32">
        <v>0.1</v>
      </c>
      <c r="H170" s="33">
        <v>45565</v>
      </c>
      <c r="I170" s="34">
        <v>210.95</v>
      </c>
      <c r="J170" s="30" t="str">
        <f t="shared" si="10"/>
        <v>Sep-2024</v>
      </c>
      <c r="K170" s="35">
        <f t="shared" ca="1" si="11"/>
        <v>46295.551106250001</v>
      </c>
    </row>
    <row r="171" spans="1:11">
      <c r="A171" s="30" t="s">
        <v>83</v>
      </c>
      <c r="B171" s="30" t="s">
        <v>45</v>
      </c>
      <c r="C171" s="30" t="s">
        <v>14</v>
      </c>
      <c r="D171" s="30" t="s">
        <v>29</v>
      </c>
      <c r="E171" s="31">
        <v>697.57</v>
      </c>
      <c r="F171" s="30">
        <v>17</v>
      </c>
      <c r="G171" s="32">
        <v>0.1</v>
      </c>
      <c r="H171" s="33">
        <v>45584</v>
      </c>
      <c r="I171" s="34">
        <v>313.91000000000003</v>
      </c>
      <c r="J171" s="30" t="str">
        <f t="shared" si="10"/>
        <v>Oct-2024</v>
      </c>
      <c r="K171" s="35">
        <f t="shared" ca="1" si="11"/>
        <v>46295.551106250001</v>
      </c>
    </row>
    <row r="172" spans="1:11">
      <c r="A172" s="30" t="s">
        <v>83</v>
      </c>
      <c r="B172" s="30" t="s">
        <v>45</v>
      </c>
      <c r="C172" s="30" t="s">
        <v>14</v>
      </c>
      <c r="D172" s="30" t="s">
        <v>15</v>
      </c>
      <c r="E172" s="31">
        <v>258.51</v>
      </c>
      <c r="F172" s="30">
        <v>19</v>
      </c>
      <c r="G172" s="32">
        <v>0</v>
      </c>
      <c r="H172" s="33">
        <v>45616</v>
      </c>
      <c r="I172" s="34">
        <v>64.63</v>
      </c>
      <c r="J172" s="30" t="str">
        <f t="shared" si="10"/>
        <v>Nov-2024</v>
      </c>
      <c r="K172" s="35">
        <f t="shared" ca="1" si="11"/>
        <v>46295.551106250001</v>
      </c>
    </row>
    <row r="173" spans="1:11">
      <c r="A173" s="30" t="s">
        <v>83</v>
      </c>
      <c r="B173" s="30" t="s">
        <v>13</v>
      </c>
      <c r="C173" s="30" t="s">
        <v>26</v>
      </c>
      <c r="D173" s="30" t="s">
        <v>15</v>
      </c>
      <c r="E173" s="31">
        <v>1488.58</v>
      </c>
      <c r="F173" s="30">
        <v>10</v>
      </c>
      <c r="G173" s="32">
        <v>0.15</v>
      </c>
      <c r="H173" s="33">
        <v>45640</v>
      </c>
      <c r="I173" s="34">
        <v>316.32</v>
      </c>
      <c r="J173" s="30" t="str">
        <f t="shared" si="10"/>
        <v>Dec-2024</v>
      </c>
      <c r="K173" s="35">
        <f t="shared" ca="1" si="11"/>
        <v>46295.551106250001</v>
      </c>
    </row>
    <row r="174" spans="1:11">
      <c r="A174" s="30" t="s">
        <v>84</v>
      </c>
      <c r="B174" s="30" t="s">
        <v>53</v>
      </c>
      <c r="C174" s="30" t="s">
        <v>38</v>
      </c>
      <c r="D174" s="30" t="s">
        <v>41</v>
      </c>
      <c r="E174" s="31">
        <v>983.34</v>
      </c>
      <c r="F174" s="30">
        <v>19</v>
      </c>
      <c r="G174" s="32">
        <v>0.1</v>
      </c>
      <c r="H174" s="33">
        <v>45426</v>
      </c>
      <c r="I174" s="34">
        <v>398.25</v>
      </c>
      <c r="J174" s="30" t="str">
        <f t="shared" si="10"/>
        <v>May-2024</v>
      </c>
      <c r="K174" s="35">
        <f t="shared" ca="1" si="11"/>
        <v>46295.551106250001</v>
      </c>
    </row>
    <row r="175" spans="1:11">
      <c r="A175" s="30" t="s">
        <v>84</v>
      </c>
      <c r="B175" s="30" t="s">
        <v>45</v>
      </c>
      <c r="C175" s="30" t="s">
        <v>35</v>
      </c>
      <c r="D175" s="30" t="s">
        <v>15</v>
      </c>
      <c r="E175" s="31">
        <v>801.21</v>
      </c>
      <c r="F175" s="30">
        <v>3</v>
      </c>
      <c r="G175" s="32">
        <v>0.2</v>
      </c>
      <c r="H175" s="33">
        <v>45426</v>
      </c>
      <c r="I175" s="34">
        <v>160.24</v>
      </c>
      <c r="J175" s="30" t="str">
        <f t="shared" si="10"/>
        <v>May-2024</v>
      </c>
      <c r="K175" s="35">
        <f t="shared" ca="1" si="11"/>
        <v>46295.551106250001</v>
      </c>
    </row>
    <row r="176" spans="1:11">
      <c r="A176" s="30" t="s">
        <v>84</v>
      </c>
      <c r="B176" s="30" t="s">
        <v>32</v>
      </c>
      <c r="C176" s="30" t="s">
        <v>26</v>
      </c>
      <c r="D176" s="30" t="s">
        <v>21</v>
      </c>
      <c r="E176" s="31">
        <v>1410.06</v>
      </c>
      <c r="F176" s="30">
        <v>11</v>
      </c>
      <c r="G176" s="32">
        <v>0.05</v>
      </c>
      <c r="H176" s="33">
        <v>45434</v>
      </c>
      <c r="I176" s="34">
        <v>468.84</v>
      </c>
      <c r="J176" s="30" t="str">
        <f t="shared" si="10"/>
        <v>May-2024</v>
      </c>
      <c r="K176" s="35">
        <f t="shared" ca="1" si="11"/>
        <v>46295.551106250001</v>
      </c>
    </row>
    <row r="177" spans="1:11">
      <c r="A177" s="30" t="s">
        <v>84</v>
      </c>
      <c r="B177" s="30" t="s">
        <v>45</v>
      </c>
      <c r="C177" s="30" t="s">
        <v>26</v>
      </c>
      <c r="D177" s="30" t="s">
        <v>41</v>
      </c>
      <c r="E177" s="31">
        <v>1025.98</v>
      </c>
      <c r="F177" s="30">
        <v>5</v>
      </c>
      <c r="G177" s="32">
        <v>0.2</v>
      </c>
      <c r="H177" s="33">
        <v>45447</v>
      </c>
      <c r="I177" s="34">
        <v>369.35</v>
      </c>
      <c r="J177" s="30" t="str">
        <f t="shared" si="10"/>
        <v>Jun-2024</v>
      </c>
      <c r="K177" s="35">
        <f t="shared" ca="1" si="11"/>
        <v>46295.551106250001</v>
      </c>
    </row>
    <row r="178" spans="1:11">
      <c r="A178" s="30" t="s">
        <v>84</v>
      </c>
      <c r="B178" s="30" t="s">
        <v>37</v>
      </c>
      <c r="C178" s="30" t="s">
        <v>26</v>
      </c>
      <c r="D178" s="30" t="s">
        <v>15</v>
      </c>
      <c r="E178" s="31">
        <v>790.08</v>
      </c>
      <c r="F178" s="30">
        <v>7</v>
      </c>
      <c r="G178" s="32">
        <v>0.1</v>
      </c>
      <c r="H178" s="33">
        <v>45536</v>
      </c>
      <c r="I178" s="34">
        <v>177.77</v>
      </c>
      <c r="J178" s="30" t="str">
        <f t="shared" si="10"/>
        <v>Sep-2024</v>
      </c>
      <c r="K178" s="35">
        <f t="shared" ca="1" si="11"/>
        <v>46295.551106250001</v>
      </c>
    </row>
    <row r="179" spans="1:11">
      <c r="A179" s="30" t="s">
        <v>84</v>
      </c>
      <c r="B179" s="30" t="s">
        <v>37</v>
      </c>
      <c r="C179" s="30" t="s">
        <v>35</v>
      </c>
      <c r="D179" s="30" t="s">
        <v>29</v>
      </c>
      <c r="E179" s="31">
        <v>1163.01</v>
      </c>
      <c r="F179" s="30">
        <v>5</v>
      </c>
      <c r="G179" s="32">
        <v>0</v>
      </c>
      <c r="H179" s="33">
        <v>45611</v>
      </c>
      <c r="I179" s="34">
        <v>581.5</v>
      </c>
      <c r="J179" s="30" t="str">
        <f t="shared" si="10"/>
        <v>Nov-2024</v>
      </c>
      <c r="K179" s="35">
        <f t="shared" ca="1" si="11"/>
        <v>46295.551106250001</v>
      </c>
    </row>
    <row r="180" spans="1:11">
      <c r="A180" s="30" t="s">
        <v>84</v>
      </c>
      <c r="B180" s="30" t="s">
        <v>32</v>
      </c>
      <c r="C180" s="30" t="s">
        <v>23</v>
      </c>
      <c r="D180" s="30" t="s">
        <v>41</v>
      </c>
      <c r="E180" s="31">
        <v>309.42</v>
      </c>
      <c r="F180" s="30">
        <v>1</v>
      </c>
      <c r="G180" s="32">
        <v>0.2</v>
      </c>
      <c r="H180" s="33">
        <v>45658</v>
      </c>
      <c r="I180" s="34">
        <v>111.39</v>
      </c>
      <c r="J180" s="30" t="str">
        <f t="shared" si="10"/>
        <v>Jan-2025</v>
      </c>
      <c r="K180" s="35">
        <f t="shared" ca="1" si="11"/>
        <v>46295.551106250001</v>
      </c>
    </row>
    <row r="181" spans="1:11">
      <c r="A181" s="30" t="s">
        <v>84</v>
      </c>
      <c r="B181" s="30" t="s">
        <v>45</v>
      </c>
      <c r="C181" s="30" t="s">
        <v>26</v>
      </c>
      <c r="D181" s="30" t="s">
        <v>41</v>
      </c>
      <c r="E181" s="31">
        <v>745.05</v>
      </c>
      <c r="F181" s="30">
        <v>10</v>
      </c>
      <c r="G181" s="32">
        <v>0.1</v>
      </c>
      <c r="H181" s="33">
        <v>45660</v>
      </c>
      <c r="I181" s="34">
        <v>301.75</v>
      </c>
      <c r="J181" s="30" t="str">
        <f t="shared" si="10"/>
        <v>Jan-2025</v>
      </c>
      <c r="K181" s="35">
        <f t="shared" ca="1" si="11"/>
        <v>46295.551106250001</v>
      </c>
    </row>
    <row r="182" spans="1:11">
      <c r="A182" s="30" t="s">
        <v>84</v>
      </c>
      <c r="B182" s="30" t="s">
        <v>45</v>
      </c>
      <c r="C182" s="30" t="s">
        <v>14</v>
      </c>
      <c r="D182" s="30" t="s">
        <v>15</v>
      </c>
      <c r="E182" s="31">
        <v>1115.22</v>
      </c>
      <c r="F182" s="30">
        <v>14</v>
      </c>
      <c r="G182" s="32">
        <v>0.2</v>
      </c>
      <c r="H182" s="33">
        <v>45705</v>
      </c>
      <c r="I182" s="34">
        <v>223.04</v>
      </c>
      <c r="J182" s="30" t="str">
        <f t="shared" si="10"/>
        <v>Feb-2025</v>
      </c>
      <c r="K182" s="35">
        <f t="shared" ca="1" si="11"/>
        <v>46295.551106250001</v>
      </c>
    </row>
    <row r="183" spans="1:11">
      <c r="A183" s="30" t="s">
        <v>84</v>
      </c>
      <c r="B183" s="30" t="s">
        <v>48</v>
      </c>
      <c r="C183" s="30" t="s">
        <v>23</v>
      </c>
      <c r="D183" s="30" t="s">
        <v>18</v>
      </c>
      <c r="E183" s="31">
        <v>710.52</v>
      </c>
      <c r="F183" s="30">
        <v>8</v>
      </c>
      <c r="G183" s="32">
        <v>0.1</v>
      </c>
      <c r="H183" s="33">
        <v>45721</v>
      </c>
      <c r="I183" s="34">
        <v>255.79</v>
      </c>
      <c r="J183" s="30" t="str">
        <f t="shared" si="10"/>
        <v>Mar-2025</v>
      </c>
      <c r="K183" s="35">
        <f t="shared" ca="1" si="11"/>
        <v>46295.551106250001</v>
      </c>
    </row>
    <row r="184" spans="1:11">
      <c r="A184" s="30" t="s">
        <v>84</v>
      </c>
      <c r="B184" s="30" t="s">
        <v>60</v>
      </c>
      <c r="C184" s="30" t="s">
        <v>23</v>
      </c>
      <c r="D184" s="30" t="s">
        <v>18</v>
      </c>
      <c r="E184" s="31">
        <v>499.18</v>
      </c>
      <c r="F184" s="30">
        <v>15</v>
      </c>
      <c r="G184" s="32">
        <v>0.2</v>
      </c>
      <c r="H184" s="33">
        <v>45724</v>
      </c>
      <c r="I184" s="34">
        <v>159.74</v>
      </c>
      <c r="J184" s="30" t="str">
        <f t="shared" si="10"/>
        <v>Mar-2025</v>
      </c>
      <c r="K184" s="35">
        <f t="shared" ca="1" si="11"/>
        <v>46295.551106250001</v>
      </c>
    </row>
    <row r="185" spans="1:11">
      <c r="A185" s="30" t="s">
        <v>84</v>
      </c>
      <c r="B185" s="30" t="s">
        <v>51</v>
      </c>
      <c r="C185" s="30" t="s">
        <v>35</v>
      </c>
      <c r="D185" s="30" t="s">
        <v>41</v>
      </c>
      <c r="E185" s="31">
        <v>740.8</v>
      </c>
      <c r="F185" s="30">
        <v>3</v>
      </c>
      <c r="G185" s="32">
        <v>0</v>
      </c>
      <c r="H185" s="33">
        <v>45749</v>
      </c>
      <c r="I185" s="34">
        <v>333.36</v>
      </c>
      <c r="J185" s="30" t="str">
        <f t="shared" si="10"/>
        <v>Apr-2025</v>
      </c>
      <c r="K185" s="35">
        <f t="shared" ca="1" si="11"/>
        <v>46295.551106250001</v>
      </c>
    </row>
    <row r="186" spans="1:11">
      <c r="A186" s="30" t="s">
        <v>85</v>
      </c>
      <c r="B186" s="30" t="s">
        <v>52</v>
      </c>
      <c r="C186" s="30" t="s">
        <v>23</v>
      </c>
      <c r="D186" s="30" t="s">
        <v>21</v>
      </c>
      <c r="E186" s="31">
        <v>521.66999999999996</v>
      </c>
      <c r="F186" s="30">
        <v>15</v>
      </c>
      <c r="G186" s="32">
        <v>0.15</v>
      </c>
      <c r="H186" s="33">
        <v>45409</v>
      </c>
      <c r="I186" s="34">
        <v>155.19999999999999</v>
      </c>
      <c r="J186" s="30" t="str">
        <f t="shared" si="10"/>
        <v>Apr-2024</v>
      </c>
      <c r="K186" s="35">
        <f t="shared" ca="1" si="11"/>
        <v>46295.551106250001</v>
      </c>
    </row>
    <row r="187" spans="1:11">
      <c r="A187" s="30" t="s">
        <v>85</v>
      </c>
      <c r="B187" s="30" t="s">
        <v>48</v>
      </c>
      <c r="C187" s="30" t="s">
        <v>23</v>
      </c>
      <c r="D187" s="30" t="s">
        <v>15</v>
      </c>
      <c r="E187" s="31">
        <v>741.61</v>
      </c>
      <c r="F187" s="30">
        <v>1</v>
      </c>
      <c r="G187" s="32">
        <v>0.2</v>
      </c>
      <c r="H187" s="33">
        <v>45471</v>
      </c>
      <c r="I187" s="34">
        <v>148.32</v>
      </c>
      <c r="J187" s="30" t="str">
        <f t="shared" si="10"/>
        <v>Jun-2024</v>
      </c>
      <c r="K187" s="35">
        <f t="shared" ca="1" si="11"/>
        <v>46295.551106250001</v>
      </c>
    </row>
    <row r="188" spans="1:11">
      <c r="A188" s="30" t="s">
        <v>85</v>
      </c>
      <c r="B188" s="30" t="s">
        <v>40</v>
      </c>
      <c r="C188" s="30" t="s">
        <v>35</v>
      </c>
      <c r="D188" s="30" t="s">
        <v>15</v>
      </c>
      <c r="E188" s="31">
        <v>1100.0999999999999</v>
      </c>
      <c r="F188" s="30">
        <v>5</v>
      </c>
      <c r="G188" s="32">
        <v>0.05</v>
      </c>
      <c r="H188" s="33">
        <v>45482</v>
      </c>
      <c r="I188" s="34">
        <v>261.27</v>
      </c>
      <c r="J188" s="30" t="str">
        <f t="shared" si="10"/>
        <v>Jul-2024</v>
      </c>
      <c r="K188" s="35">
        <f t="shared" ca="1" si="11"/>
        <v>46295.551106250001</v>
      </c>
    </row>
    <row r="189" spans="1:11">
      <c r="A189" s="30" t="s">
        <v>85</v>
      </c>
      <c r="B189" s="30" t="s">
        <v>40</v>
      </c>
      <c r="C189" s="30" t="s">
        <v>14</v>
      </c>
      <c r="D189" s="30" t="s">
        <v>21</v>
      </c>
      <c r="E189" s="31">
        <v>1172.97</v>
      </c>
      <c r="F189" s="30">
        <v>7</v>
      </c>
      <c r="G189" s="32">
        <v>0.15</v>
      </c>
      <c r="H189" s="33">
        <v>45559</v>
      </c>
      <c r="I189" s="34">
        <v>348.96</v>
      </c>
      <c r="J189" s="30" t="str">
        <f t="shared" si="10"/>
        <v>Sep-2024</v>
      </c>
      <c r="K189" s="35">
        <f t="shared" ca="1" si="11"/>
        <v>46295.551106250001</v>
      </c>
    </row>
    <row r="190" spans="1:11">
      <c r="A190" s="30" t="s">
        <v>85</v>
      </c>
      <c r="B190" s="30" t="s">
        <v>17</v>
      </c>
      <c r="C190" s="30" t="s">
        <v>38</v>
      </c>
      <c r="D190" s="30" t="s">
        <v>15</v>
      </c>
      <c r="E190" s="31">
        <v>919.18</v>
      </c>
      <c r="F190" s="30">
        <v>4</v>
      </c>
      <c r="G190" s="32">
        <v>0.15</v>
      </c>
      <c r="H190" s="33">
        <v>45615</v>
      </c>
      <c r="I190" s="34">
        <v>195.33</v>
      </c>
      <c r="J190" s="30" t="str">
        <f t="shared" si="10"/>
        <v>Nov-2024</v>
      </c>
      <c r="K190" s="35">
        <f t="shared" ca="1" si="11"/>
        <v>46295.551106250001</v>
      </c>
    </row>
    <row r="191" spans="1:11">
      <c r="A191" s="30" t="s">
        <v>85</v>
      </c>
      <c r="B191" s="30" t="s">
        <v>57</v>
      </c>
      <c r="C191" s="30" t="s">
        <v>14</v>
      </c>
      <c r="D191" s="30" t="s">
        <v>29</v>
      </c>
      <c r="E191" s="31">
        <v>864.98</v>
      </c>
      <c r="F191" s="30">
        <v>2</v>
      </c>
      <c r="G191" s="32">
        <v>0.05</v>
      </c>
      <c r="H191" s="33">
        <v>45727</v>
      </c>
      <c r="I191" s="34">
        <v>410.87</v>
      </c>
      <c r="J191" s="30" t="str">
        <f t="shared" si="10"/>
        <v>Mar-2025</v>
      </c>
      <c r="K191" s="35">
        <f t="shared" ca="1" si="11"/>
        <v>46295.551106250001</v>
      </c>
    </row>
    <row r="192" spans="1:11">
      <c r="A192" s="30" t="s">
        <v>85</v>
      </c>
      <c r="B192" s="30" t="s">
        <v>25</v>
      </c>
      <c r="C192" s="30" t="s">
        <v>23</v>
      </c>
      <c r="D192" s="30" t="s">
        <v>15</v>
      </c>
      <c r="E192" s="31">
        <v>458.54</v>
      </c>
      <c r="F192" s="30">
        <v>15</v>
      </c>
      <c r="G192" s="32">
        <v>0.2</v>
      </c>
      <c r="H192" s="33">
        <v>45741</v>
      </c>
      <c r="I192" s="34">
        <v>91.71</v>
      </c>
      <c r="J192" s="30" t="str">
        <f t="shared" si="10"/>
        <v>Mar-2025</v>
      </c>
      <c r="K192" s="35">
        <f t="shared" ca="1" si="11"/>
        <v>46295.551106250001</v>
      </c>
    </row>
    <row r="193" spans="1:11">
      <c r="A193" s="30" t="s">
        <v>86</v>
      </c>
      <c r="B193" s="30" t="s">
        <v>45</v>
      </c>
      <c r="C193" s="30" t="s">
        <v>23</v>
      </c>
      <c r="D193" s="30" t="s">
        <v>18</v>
      </c>
      <c r="E193" s="31">
        <v>847</v>
      </c>
      <c r="F193" s="30">
        <v>12</v>
      </c>
      <c r="G193" s="32">
        <v>0.2</v>
      </c>
      <c r="H193" s="33">
        <v>45397</v>
      </c>
      <c r="I193" s="34">
        <v>271.04000000000002</v>
      </c>
      <c r="J193" s="30" t="str">
        <f t="shared" si="10"/>
        <v>Apr-2024</v>
      </c>
      <c r="K193" s="35">
        <f t="shared" ca="1" si="11"/>
        <v>46295.551106250001</v>
      </c>
    </row>
    <row r="194" spans="1:11">
      <c r="A194" s="30" t="s">
        <v>86</v>
      </c>
      <c r="B194" s="30" t="s">
        <v>61</v>
      </c>
      <c r="C194" s="30" t="s">
        <v>23</v>
      </c>
      <c r="D194" s="30" t="s">
        <v>21</v>
      </c>
      <c r="E194" s="31">
        <v>675.54</v>
      </c>
      <c r="F194" s="30">
        <v>17</v>
      </c>
      <c r="G194" s="32">
        <v>0</v>
      </c>
      <c r="H194" s="33">
        <v>45420</v>
      </c>
      <c r="I194" s="34">
        <v>236.44</v>
      </c>
      <c r="J194" s="30" t="str">
        <f t="shared" ref="J194:J201" si="12">TEXT(H194,"mmm-yyyy")</f>
        <v>May-2024</v>
      </c>
      <c r="K194" s="35">
        <f t="shared" ref="K194:K201" ca="1" si="13">NOW()</f>
        <v>46295.551106250001</v>
      </c>
    </row>
    <row r="195" spans="1:11">
      <c r="A195" s="30" t="s">
        <v>86</v>
      </c>
      <c r="B195" s="30" t="s">
        <v>48</v>
      </c>
      <c r="C195" s="30" t="s">
        <v>35</v>
      </c>
      <c r="D195" s="30" t="s">
        <v>21</v>
      </c>
      <c r="E195" s="31">
        <v>1086.93</v>
      </c>
      <c r="F195" s="30">
        <v>2</v>
      </c>
      <c r="G195" s="32">
        <v>0</v>
      </c>
      <c r="H195" s="33">
        <v>45464</v>
      </c>
      <c r="I195" s="34">
        <v>380.43</v>
      </c>
      <c r="J195" s="30" t="str">
        <f t="shared" si="12"/>
        <v>Jun-2024</v>
      </c>
      <c r="K195" s="35">
        <f t="shared" ca="1" si="13"/>
        <v>46295.551106250001</v>
      </c>
    </row>
    <row r="196" spans="1:11">
      <c r="A196" s="30" t="s">
        <v>86</v>
      </c>
      <c r="B196" s="30" t="s">
        <v>58</v>
      </c>
      <c r="C196" s="30" t="s">
        <v>26</v>
      </c>
      <c r="D196" s="30" t="s">
        <v>18</v>
      </c>
      <c r="E196" s="31">
        <v>973.26</v>
      </c>
      <c r="F196" s="30">
        <v>11</v>
      </c>
      <c r="G196" s="32">
        <v>0</v>
      </c>
      <c r="H196" s="33">
        <v>45470</v>
      </c>
      <c r="I196" s="34">
        <v>389.3</v>
      </c>
      <c r="J196" s="30" t="str">
        <f t="shared" si="12"/>
        <v>Jun-2024</v>
      </c>
      <c r="K196" s="35">
        <f t="shared" ca="1" si="13"/>
        <v>46295.551106250001</v>
      </c>
    </row>
    <row r="197" spans="1:11">
      <c r="A197" s="30" t="s">
        <v>86</v>
      </c>
      <c r="B197" s="30" t="s">
        <v>57</v>
      </c>
      <c r="C197" s="30" t="s">
        <v>26</v>
      </c>
      <c r="D197" s="30" t="s">
        <v>15</v>
      </c>
      <c r="E197" s="31">
        <v>608.66</v>
      </c>
      <c r="F197" s="30">
        <v>1</v>
      </c>
      <c r="G197" s="32">
        <v>0.05</v>
      </c>
      <c r="H197" s="33">
        <v>45503</v>
      </c>
      <c r="I197" s="34">
        <v>144.56</v>
      </c>
      <c r="J197" s="30" t="str">
        <f t="shared" si="12"/>
        <v>Jul-2024</v>
      </c>
      <c r="K197" s="35">
        <f t="shared" ca="1" si="13"/>
        <v>46295.551106250001</v>
      </c>
    </row>
    <row r="198" spans="1:11">
      <c r="A198" s="30" t="s">
        <v>86</v>
      </c>
      <c r="B198" s="30" t="s">
        <v>34</v>
      </c>
      <c r="C198" s="30" t="s">
        <v>38</v>
      </c>
      <c r="D198" s="30" t="s">
        <v>29</v>
      </c>
      <c r="E198" s="31">
        <v>1291.47</v>
      </c>
      <c r="F198" s="30">
        <v>18</v>
      </c>
      <c r="G198" s="32">
        <v>0.1</v>
      </c>
      <c r="H198" s="33">
        <v>45526</v>
      </c>
      <c r="I198" s="34">
        <v>581.16</v>
      </c>
      <c r="J198" s="30" t="str">
        <f t="shared" si="12"/>
        <v>Aug-2024</v>
      </c>
      <c r="K198" s="35">
        <f t="shared" ca="1" si="13"/>
        <v>46295.551106250001</v>
      </c>
    </row>
    <row r="199" spans="1:11">
      <c r="A199" s="30" t="s">
        <v>86</v>
      </c>
      <c r="B199" s="30" t="s">
        <v>24</v>
      </c>
      <c r="C199" s="30" t="s">
        <v>14</v>
      </c>
      <c r="D199" s="30" t="s">
        <v>29</v>
      </c>
      <c r="E199" s="31">
        <v>585.16</v>
      </c>
      <c r="F199" s="30">
        <v>17</v>
      </c>
      <c r="G199" s="32">
        <v>0.1</v>
      </c>
      <c r="H199" s="33">
        <v>45684</v>
      </c>
      <c r="I199" s="34">
        <v>263.32</v>
      </c>
      <c r="J199" s="30" t="str">
        <f t="shared" si="12"/>
        <v>Jan-2025</v>
      </c>
      <c r="K199" s="35">
        <f t="shared" ca="1" si="13"/>
        <v>46295.551106250001</v>
      </c>
    </row>
    <row r="200" spans="1:11">
      <c r="A200" s="30" t="s">
        <v>86</v>
      </c>
      <c r="B200" s="30" t="s">
        <v>34</v>
      </c>
      <c r="C200" s="30" t="s">
        <v>38</v>
      </c>
      <c r="D200" s="30" t="s">
        <v>29</v>
      </c>
      <c r="E200" s="31">
        <v>1109.98</v>
      </c>
      <c r="F200" s="30">
        <v>5</v>
      </c>
      <c r="G200" s="32">
        <v>0.2</v>
      </c>
      <c r="H200" s="33">
        <v>45690</v>
      </c>
      <c r="I200" s="34">
        <v>443.99</v>
      </c>
      <c r="J200" s="30" t="str">
        <f t="shared" si="12"/>
        <v>Feb-2025</v>
      </c>
      <c r="K200" s="35">
        <f t="shared" ca="1" si="13"/>
        <v>46295.551106250001</v>
      </c>
    </row>
    <row r="201" spans="1:11">
      <c r="A201" s="30" t="s">
        <v>86</v>
      </c>
      <c r="B201" s="30" t="s">
        <v>53</v>
      </c>
      <c r="C201" s="30" t="s">
        <v>23</v>
      </c>
      <c r="D201" s="30" t="s">
        <v>18</v>
      </c>
      <c r="E201" s="31">
        <v>750.71</v>
      </c>
      <c r="F201" s="30">
        <v>10</v>
      </c>
      <c r="G201" s="32">
        <v>0.15</v>
      </c>
      <c r="H201" s="33">
        <v>45743</v>
      </c>
      <c r="I201" s="34">
        <v>255.24</v>
      </c>
      <c r="J201" s="30" t="str">
        <f t="shared" si="12"/>
        <v>Mar-2025</v>
      </c>
      <c r="K201" s="35">
        <f t="shared" ca="1" si="13"/>
        <v>46295.551106250001</v>
      </c>
    </row>
    <row r="457" spans="12:12">
      <c r="L457" s="28"/>
    </row>
  </sheetData>
  <mergeCells count="2">
    <mergeCell ref="M1:N1"/>
    <mergeCell ref="M7:U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A002-B601-4CFD-97D6-C55F5312D363}">
  <dimension ref="A1:N31"/>
  <sheetViews>
    <sheetView workbookViewId="0">
      <selection activeCell="N21" sqref="N21"/>
    </sheetView>
  </sheetViews>
  <sheetFormatPr defaultRowHeight="15"/>
  <cols>
    <col min="1" max="1" width="15.7109375" style="18" customWidth="1"/>
    <col min="2" max="2" width="20.28515625" style="18" customWidth="1"/>
    <col min="3" max="3" width="14" style="18" customWidth="1"/>
    <col min="5" max="5" width="13.85546875" style="18" customWidth="1"/>
    <col min="6" max="6" width="22" style="18" customWidth="1"/>
    <col min="7" max="7" width="15.140625" style="21" customWidth="1"/>
    <col min="8" max="8" width="10.140625" customWidth="1"/>
    <col min="11" max="11" width="10.28515625" customWidth="1"/>
    <col min="13" max="13" width="16.5703125" customWidth="1"/>
    <col min="14" max="14" width="10.7109375" customWidth="1"/>
  </cols>
  <sheetData>
    <row r="1" spans="1:14">
      <c r="A1" s="16" t="s">
        <v>0</v>
      </c>
      <c r="B1" s="16" t="s">
        <v>1</v>
      </c>
      <c r="C1" s="16" t="s">
        <v>87</v>
      </c>
      <c r="E1" s="16" t="s">
        <v>0</v>
      </c>
      <c r="F1" s="16" t="s">
        <v>88</v>
      </c>
      <c r="G1" s="19" t="s">
        <v>87</v>
      </c>
      <c r="J1" s="10" t="s">
        <v>2</v>
      </c>
      <c r="K1" s="10" t="s">
        <v>87</v>
      </c>
      <c r="M1" s="10" t="s">
        <v>89</v>
      </c>
      <c r="N1" s="10" t="s">
        <v>87</v>
      </c>
    </row>
    <row r="2" spans="1:14">
      <c r="A2" s="17" t="str" cm="1">
        <f t="array" ref="A2:A31">_xlfn._xlws.SORT(_xlfn.UNIQUE(SalesData[Customer_ID]))</f>
        <v>CUST001</v>
      </c>
      <c r="B2" s="17" t="str">
        <f>_xlfn.XLOOKUP(A2,SalesData[Customer_ID],SalesData[Customer_Name])</f>
        <v>Linda Wilson</v>
      </c>
      <c r="C2" s="17">
        <f>SUMIF(SalesData[Customer_ID],A2,SalesData[Sales])</f>
        <v>6549.55</v>
      </c>
      <c r="E2" s="17" t="str">
        <f>INDEX($A$2:$A$31,MATCH(G2,$C$2:$C$31,0))</f>
        <v>CUST015</v>
      </c>
      <c r="F2" s="17" t="str">
        <f>_xlfn.XLOOKUP(E2,$A$2:$A$31,$B$2:$B$31)</f>
        <v>Linda Taylor</v>
      </c>
      <c r="G2" s="20">
        <f>LARGE($C$2:$C$31,ROWS($G$2:G2))</f>
        <v>11611.060000000001</v>
      </c>
      <c r="J2" s="2" t="s">
        <v>23</v>
      </c>
      <c r="K2" s="2">
        <f>SUMIF('Raw Data'!$C$2:$C$201,J2,'Raw Data'!$E$2:$E$201)</f>
        <v>34975.42</v>
      </c>
      <c r="M2" s="40" t="s">
        <v>15</v>
      </c>
      <c r="N2" s="2">
        <f>SUMIF('Raw Data'!$D$2:$D$201,M2,'Raw Data'!$E$2:$E$201)</f>
        <v>41044.000000000007</v>
      </c>
    </row>
    <row r="3" spans="1:14">
      <c r="A3" s="17" t="str">
        <v>CUST002</v>
      </c>
      <c r="B3" s="17" t="str">
        <f>_xlfn.XLOOKUP(A3,SalesData[Customer_ID],SalesData[Customer_Name])</f>
        <v>Lisa Davis</v>
      </c>
      <c r="C3" s="17">
        <f>SUMIF(SalesData[Customer_ID],A3,SalesData[Sales])</f>
        <v>6481.43</v>
      </c>
      <c r="E3" s="17" t="str">
        <f>INDEX($A$2:$A$31,MATCH(G3,$C$2:$C$31,0))</f>
        <v>CUST028</v>
      </c>
      <c r="F3" s="17" t="str">
        <f>_xlfn.XLOOKUP(E3,$A$2:$A$31,$B$2:$B$31)</f>
        <v>Linda Taylor</v>
      </c>
      <c r="G3" s="20">
        <f>LARGE($C$2:$C$31,ROWS($G$2:G3))</f>
        <v>10293.870000000001</v>
      </c>
      <c r="J3" s="2" t="s">
        <v>35</v>
      </c>
      <c r="K3" s="2">
        <f>SUMIF('Raw Data'!$C$2:$C$201,J3,'Raw Data'!$E$2:$E$201)</f>
        <v>40248.789999999994</v>
      </c>
      <c r="M3" s="41" t="s">
        <v>18</v>
      </c>
      <c r="N3" s="2">
        <f>SUMIF('Raw Data'!$D$2:$D$201,M3,'Raw Data'!$E$2:$E$201)</f>
        <v>47002.46</v>
      </c>
    </row>
    <row r="4" spans="1:14">
      <c r="A4" s="17" t="str">
        <v>CUST003</v>
      </c>
      <c r="B4" s="17" t="str">
        <f>_xlfn.XLOOKUP(A4,SalesData[Customer_ID],SalesData[Customer_Name])</f>
        <v>Emma Davis</v>
      </c>
      <c r="C4" s="17">
        <f>SUMIF(SalesData[Customer_ID],A4,SalesData[Sales])</f>
        <v>8490.18</v>
      </c>
      <c r="E4" s="17" t="str">
        <f>INDEX($A$2:$A$31,MATCH(G4,$C$2:$C$31,0))</f>
        <v>CUST007</v>
      </c>
      <c r="F4" s="17" t="str">
        <f>_xlfn.XLOOKUP(E4,$A$2:$A$31,$B$2:$B$31)</f>
        <v>Michael Anderson</v>
      </c>
      <c r="G4" s="20">
        <f>LARGE($C$2:$C$31,ROWS($G$2:G4))</f>
        <v>9941.8799999999992</v>
      </c>
      <c r="J4" s="2" t="s">
        <v>38</v>
      </c>
      <c r="K4" s="2">
        <f>SUMIF('Raw Data'!$C$2:$C$201,J4,'Raw Data'!$E$2:$E$201)</f>
        <v>32441.640000000007</v>
      </c>
      <c r="M4" s="40" t="s">
        <v>21</v>
      </c>
      <c r="N4" s="2">
        <f>SUMIF('Raw Data'!$D$2:$D$201,M4,'Raw Data'!$E$2:$E$201)</f>
        <v>36612.89</v>
      </c>
    </row>
    <row r="5" spans="1:14">
      <c r="A5" s="17" t="str">
        <v>CUST004</v>
      </c>
      <c r="B5" s="17" t="str">
        <f>_xlfn.XLOOKUP(A5,SalesData[Customer_ID],SalesData[Customer_Name])</f>
        <v>Lisa Thomas</v>
      </c>
      <c r="C5" s="17">
        <f>SUMIF(SalesData[Customer_ID],A5,SalesData[Sales])</f>
        <v>7813.59</v>
      </c>
      <c r="E5" s="17" t="str">
        <f>INDEX($A$2:$A$31,MATCH(G5,$C$2:$C$31,0))</f>
        <v>CUST008</v>
      </c>
      <c r="F5" s="17" t="str">
        <f>_xlfn.XLOOKUP(E5,$A$2:$A$31,$B$2:$B$31)</f>
        <v>Robert Anderson</v>
      </c>
      <c r="G5" s="20">
        <f>LARGE($C$2:$C$31,ROWS($G$2:G5))</f>
        <v>9760.7999999999993</v>
      </c>
      <c r="J5" s="2" t="s">
        <v>14</v>
      </c>
      <c r="K5" s="2">
        <f>SUMIF('Raw Data'!$C$2:$C$201,J5,'Raw Data'!$E$2:$E$201)</f>
        <v>44083.58</v>
      </c>
      <c r="M5" s="41" t="s">
        <v>41</v>
      </c>
      <c r="N5" s="2">
        <f>SUMIF('Raw Data'!$D$2:$D$201,M5,'Raw Data'!$E$2:$E$201)</f>
        <v>28630.819999999989</v>
      </c>
    </row>
    <row r="6" spans="1:14">
      <c r="A6" s="17" t="str">
        <v>CUST005</v>
      </c>
      <c r="B6" s="17" t="str">
        <f>_xlfn.XLOOKUP(A6,SalesData[Customer_ID],SalesData[Customer_Name])</f>
        <v>Robert Anderson</v>
      </c>
      <c r="C6" s="17">
        <f>SUMIF(SalesData[Customer_ID],A6,SalesData[Sales])</f>
        <v>6666.130000000001</v>
      </c>
      <c r="E6" s="17" t="str">
        <f>INDEX($A$2:$A$31,MATCH(G6,$C$2:$C$31,0))</f>
        <v>CUST026</v>
      </c>
      <c r="F6" s="17" t="str">
        <f>_xlfn.XLOOKUP(E6,$A$2:$A$31,$B$2:$B$31)</f>
        <v>Mary Davis</v>
      </c>
      <c r="G6" s="20">
        <f>LARGE($C$2:$C$31,ROWS($G$2:G6))</f>
        <v>9371.81</v>
      </c>
      <c r="J6" s="2" t="s">
        <v>26</v>
      </c>
      <c r="K6" s="2">
        <f>SUMIF('Raw Data'!$C$2:$C$201,J6,'Raw Data'!$E$2:$E$201)</f>
        <v>43468.330000000009</v>
      </c>
      <c r="M6" s="40" t="s">
        <v>29</v>
      </c>
      <c r="N6" s="2">
        <f>SUMIF('Raw Data'!$D$2:$D$201,M6,'Raw Data'!$E$2:$E$201)</f>
        <v>41927.590000000011</v>
      </c>
    </row>
    <row r="7" spans="1:14">
      <c r="A7" s="17" t="str">
        <v>CUST006</v>
      </c>
      <c r="B7" s="17" t="str">
        <f>_xlfn.XLOOKUP(A7,SalesData[Customer_ID],SalesData[Customer_Name])</f>
        <v>Mary Jackson</v>
      </c>
      <c r="C7" s="17">
        <f>SUMIF(SalesData[Customer_ID],A7,SalesData[Sales])</f>
        <v>2699.75</v>
      </c>
      <c r="E7" s="17" t="str">
        <f>INDEX($A$2:$A$31,MATCH(G7,$C$2:$C$31,0))</f>
        <v>CUST021</v>
      </c>
      <c r="F7" s="17" t="str">
        <f>_xlfn.XLOOKUP(E7,$A$2:$A$31,$B$2:$B$31)</f>
        <v>Sarah Anderson</v>
      </c>
      <c r="G7" s="20">
        <f>LARGE($C$2:$C$31,ROWS($G$2:G7))</f>
        <v>8740.18</v>
      </c>
    </row>
    <row r="8" spans="1:14">
      <c r="A8" s="17" t="str">
        <v>CUST007</v>
      </c>
      <c r="B8" s="17" t="str">
        <f>_xlfn.XLOOKUP(A8,SalesData[Customer_ID],SalesData[Customer_Name])</f>
        <v>Michael Anderson</v>
      </c>
      <c r="C8" s="17">
        <f>SUMIF(SalesData[Customer_ID],A8,SalesData[Sales])</f>
        <v>9941.8799999999992</v>
      </c>
      <c r="E8" s="17" t="str">
        <f>INDEX($A$2:$A$31,MATCH(G8,$C$2:$C$31,0))</f>
        <v>CUST003</v>
      </c>
      <c r="F8" s="17" t="str">
        <f>_xlfn.XLOOKUP(E8,$A$2:$A$31,$B$2:$B$31)</f>
        <v>Emma Davis</v>
      </c>
      <c r="G8" s="20">
        <f>LARGE($C$2:$C$31,ROWS($G$2:G8))</f>
        <v>8490.18</v>
      </c>
    </row>
    <row r="9" spans="1:14">
      <c r="A9" s="17" t="str">
        <v>CUST008</v>
      </c>
      <c r="B9" s="17" t="str">
        <f>_xlfn.XLOOKUP(A9,SalesData[Customer_ID],SalesData[Customer_Name])</f>
        <v>Robert Anderson</v>
      </c>
      <c r="C9" s="17">
        <f>SUMIF(SalesData[Customer_ID],A9,SalesData[Sales])</f>
        <v>9760.7999999999993</v>
      </c>
      <c r="E9" s="17" t="str">
        <f>INDEX($A$2:$A$31,MATCH(G9,$C$2:$C$31,0))</f>
        <v>CUST012</v>
      </c>
      <c r="F9" s="17" t="str">
        <f>_xlfn.XLOOKUP(E9,$A$2:$A$31,$B$2:$B$31)</f>
        <v>Robert Anderson</v>
      </c>
      <c r="G9" s="20">
        <f>LARGE($C$2:$C$31,ROWS($G$2:G9))</f>
        <v>8339</v>
      </c>
    </row>
    <row r="10" spans="1:14">
      <c r="A10" s="17" t="str">
        <v>CUST009</v>
      </c>
      <c r="B10" s="17" t="str">
        <f>_xlfn.XLOOKUP(A10,SalesData[Customer_ID],SalesData[Customer_Name])</f>
        <v>Linda Jackson</v>
      </c>
      <c r="C10" s="17">
        <f>SUMIF(SalesData[Customer_ID],A10,SalesData[Sales])</f>
        <v>6505.2</v>
      </c>
      <c r="E10" s="17" t="str">
        <f>INDEX($A$2:$A$31,MATCH(G10,$C$2:$C$31,0))</f>
        <v>CUST030</v>
      </c>
      <c r="F10" s="17" t="str">
        <f>_xlfn.XLOOKUP(E10,$A$2:$A$31,$B$2:$B$31)</f>
        <v>James Wilson</v>
      </c>
      <c r="G10" s="20">
        <f>LARGE($C$2:$C$31,ROWS($G$2:G10))</f>
        <v>7928.71</v>
      </c>
    </row>
    <row r="11" spans="1:14">
      <c r="A11" s="17" t="str">
        <v>CUST010</v>
      </c>
      <c r="B11" s="17" t="str">
        <f>_xlfn.XLOOKUP(A11,SalesData[Customer_ID],SalesData[Customer_Name])</f>
        <v>David Thomas</v>
      </c>
      <c r="C11" s="17">
        <f>SUMIF(SalesData[Customer_ID],A11,SalesData[Sales])</f>
        <v>4259.22</v>
      </c>
      <c r="E11" s="17" t="str">
        <f>INDEX($A$2:$A$31,MATCH(G11,$C$2:$C$31,0))</f>
        <v>CUST004</v>
      </c>
      <c r="F11" s="17" t="str">
        <f>_xlfn.XLOOKUP(E11,$A$2:$A$31,$B$2:$B$31)</f>
        <v>Lisa Thomas</v>
      </c>
      <c r="G11" s="20">
        <f>LARGE($C$2:$C$31,ROWS($G$2:G11))</f>
        <v>7813.59</v>
      </c>
    </row>
    <row r="12" spans="1:14">
      <c r="A12" s="17" t="str">
        <v>CUST011</v>
      </c>
      <c r="B12" s="17" t="str">
        <f>_xlfn.XLOOKUP(A12,SalesData[Customer_ID],SalesData[Customer_Name])</f>
        <v>Mary Davis</v>
      </c>
      <c r="C12" s="17">
        <f>SUMIF(SalesData[Customer_ID],A12,SalesData[Sales])</f>
        <v>3762.2900000000004</v>
      </c>
    </row>
    <row r="13" spans="1:14">
      <c r="A13" s="17" t="str">
        <v>CUST012</v>
      </c>
      <c r="B13" s="17" t="str">
        <f>_xlfn.XLOOKUP(A13,SalesData[Customer_ID],SalesData[Customer_Name])</f>
        <v>Robert Anderson</v>
      </c>
      <c r="C13" s="17">
        <f>SUMIF(SalesData[Customer_ID],A13,SalesData[Sales])</f>
        <v>8339</v>
      </c>
    </row>
    <row r="14" spans="1:14">
      <c r="A14" s="17" t="str">
        <v>CUST013</v>
      </c>
      <c r="B14" s="17" t="str">
        <f>_xlfn.XLOOKUP(A14,SalesData[Customer_ID],SalesData[Customer_Name])</f>
        <v>Robert Anderson</v>
      </c>
      <c r="C14" s="17">
        <f>SUMIF(SalesData[Customer_ID],A14,SalesData[Sales])</f>
        <v>4162.4400000000005</v>
      </c>
    </row>
    <row r="15" spans="1:14">
      <c r="A15" s="17" t="str">
        <v>CUST014</v>
      </c>
      <c r="B15" s="17" t="str">
        <f>_xlfn.XLOOKUP(A15,SalesData[Customer_ID],SalesData[Customer_Name])</f>
        <v>Emma Davis</v>
      </c>
      <c r="C15" s="17">
        <f>SUMIF(SalesData[Customer_ID],A15,SalesData[Sales])</f>
        <v>6729.8899999999994</v>
      </c>
    </row>
    <row r="16" spans="1:14">
      <c r="A16" s="17" t="str">
        <v>CUST015</v>
      </c>
      <c r="B16" s="17" t="str">
        <f>_xlfn.XLOOKUP(A16,SalesData[Customer_ID],SalesData[Customer_Name])</f>
        <v>Linda Taylor</v>
      </c>
      <c r="C16" s="17">
        <f>SUMIF(SalesData[Customer_ID],A16,SalesData[Sales])</f>
        <v>11611.060000000001</v>
      </c>
    </row>
    <row r="17" spans="1:3">
      <c r="A17" s="17" t="str">
        <v>CUST016</v>
      </c>
      <c r="B17" s="17" t="str">
        <f>_xlfn.XLOOKUP(A17,SalesData[Customer_ID],SalesData[Customer_Name])</f>
        <v>Emma Wilson</v>
      </c>
      <c r="C17" s="17">
        <f>SUMIF(SalesData[Customer_ID],A17,SalesData[Sales])</f>
        <v>3369.17</v>
      </c>
    </row>
    <row r="18" spans="1:3">
      <c r="A18" s="17" t="str">
        <v>CUST017</v>
      </c>
      <c r="B18" s="17" t="str">
        <f>_xlfn.XLOOKUP(A18,SalesData[Customer_ID],SalesData[Customer_Name])</f>
        <v>James Taylor</v>
      </c>
      <c r="C18" s="17">
        <f>SUMIF(SalesData[Customer_ID],A18,SalesData[Sales])</f>
        <v>3419.2</v>
      </c>
    </row>
    <row r="19" spans="1:3">
      <c r="A19" s="17" t="str">
        <v>CUST018</v>
      </c>
      <c r="B19" s="17" t="str">
        <f>_xlfn.XLOOKUP(A19,SalesData[Customer_ID],SalesData[Customer_Name])</f>
        <v>Mary Jackson</v>
      </c>
      <c r="C19" s="17">
        <f>SUMIF(SalesData[Customer_ID],A19,SalesData[Sales])</f>
        <v>4951.8899999999994</v>
      </c>
    </row>
    <row r="20" spans="1:3">
      <c r="A20" s="17" t="str">
        <v>CUST019</v>
      </c>
      <c r="B20" s="17" t="str">
        <f>_xlfn.XLOOKUP(A20,SalesData[Customer_ID],SalesData[Customer_Name])</f>
        <v>James Davis</v>
      </c>
      <c r="C20" s="17">
        <f>SUMIF(SalesData[Customer_ID],A20,SalesData[Sales])</f>
        <v>4640.1099999999997</v>
      </c>
    </row>
    <row r="21" spans="1:3">
      <c r="A21" s="17" t="str">
        <v>CUST020</v>
      </c>
      <c r="B21" s="17" t="str">
        <f>_xlfn.XLOOKUP(A21,SalesData[Customer_ID],SalesData[Customer_Name])</f>
        <v>David Brown</v>
      </c>
      <c r="C21" s="17">
        <f>SUMIF(SalesData[Customer_ID],A21,SalesData[Sales])</f>
        <v>4413.71</v>
      </c>
    </row>
    <row r="22" spans="1:3">
      <c r="A22" s="17" t="str">
        <v>CUST021</v>
      </c>
      <c r="B22" s="17" t="str">
        <f>_xlfn.XLOOKUP(A22,SalesData[Customer_ID],SalesData[Customer_Name])</f>
        <v>Sarah Anderson</v>
      </c>
      <c r="C22" s="17">
        <f>SUMIF(SalesData[Customer_ID],A22,SalesData[Sales])</f>
        <v>8740.18</v>
      </c>
    </row>
    <row r="23" spans="1:3">
      <c r="A23" s="17" t="str">
        <v>CUST022</v>
      </c>
      <c r="B23" s="17" t="str">
        <f>_xlfn.XLOOKUP(A23,SalesData[Customer_ID],SalesData[Customer_Name])</f>
        <v>Robert Anderson</v>
      </c>
      <c r="C23" s="17">
        <f>SUMIF(SalesData[Customer_ID],A23,SalesData[Sales])</f>
        <v>4418.2800000000007</v>
      </c>
    </row>
    <row r="24" spans="1:3">
      <c r="A24" s="17" t="str">
        <v>CUST023</v>
      </c>
      <c r="B24" s="17" t="str">
        <f>_xlfn.XLOOKUP(A24,SalesData[Customer_ID],SalesData[Customer_Name])</f>
        <v>Robert Anderson</v>
      </c>
      <c r="C24" s="17">
        <f>SUMIF(SalesData[Customer_ID],A24,SalesData[Sales])</f>
        <v>5913.68</v>
      </c>
    </row>
    <row r="25" spans="1:3">
      <c r="A25" s="17" t="str">
        <v>CUST024</v>
      </c>
      <c r="B25" s="17" t="str">
        <f>_xlfn.XLOOKUP(A25,SalesData[Customer_ID],SalesData[Customer_Name])</f>
        <v>David Brown</v>
      </c>
      <c r="C25" s="17">
        <f>SUMIF(SalesData[Customer_ID],A25,SalesData[Sales])</f>
        <v>7583.1299999999992</v>
      </c>
    </row>
    <row r="26" spans="1:3">
      <c r="A26" s="17" t="str">
        <v>CUST025</v>
      </c>
      <c r="B26" s="17" t="str">
        <f>_xlfn.XLOOKUP(A26,SalesData[Customer_ID],SalesData[Customer_Name])</f>
        <v>David Brown</v>
      </c>
      <c r="C26" s="17">
        <f>SUMIF(SalesData[Customer_ID],A26,SalesData[Sales])</f>
        <v>6716.52</v>
      </c>
    </row>
    <row r="27" spans="1:3">
      <c r="A27" s="17" t="str">
        <v>CUST026</v>
      </c>
      <c r="B27" s="17" t="str">
        <f>_xlfn.XLOOKUP(A27,SalesData[Customer_ID],SalesData[Customer_Name])</f>
        <v>Mary Davis</v>
      </c>
      <c r="C27" s="17">
        <f>SUMIF(SalesData[Customer_ID],A27,SalesData[Sales])</f>
        <v>9371.81</v>
      </c>
    </row>
    <row r="28" spans="1:3">
      <c r="A28" s="17" t="str">
        <v>CUST027</v>
      </c>
      <c r="B28" s="17" t="str">
        <f>_xlfn.XLOOKUP(A28,SalesData[Customer_ID],SalesData[Customer_Name])</f>
        <v>Emma Davis</v>
      </c>
      <c r="C28" s="17">
        <f>SUMIF(SalesData[Customer_ID],A28,SalesData[Sales])</f>
        <v>3906.04</v>
      </c>
    </row>
    <row r="29" spans="1:3">
      <c r="A29" s="17" t="str">
        <v>CUST028</v>
      </c>
      <c r="B29" s="17" t="str">
        <f>_xlfn.XLOOKUP(A29,SalesData[Customer_ID],SalesData[Customer_Name])</f>
        <v>Linda Taylor</v>
      </c>
      <c r="C29" s="17">
        <f>SUMIF(SalesData[Customer_ID],A29,SalesData[Sales])</f>
        <v>10293.870000000001</v>
      </c>
    </row>
    <row r="30" spans="1:3">
      <c r="A30" s="17" t="str">
        <v>CUST029</v>
      </c>
      <c r="B30" s="17" t="str">
        <f>_xlfn.XLOOKUP(A30,SalesData[Customer_ID],SalesData[Customer_Name])</f>
        <v>David Smith</v>
      </c>
      <c r="C30" s="17">
        <f>SUMIF(SalesData[Customer_ID],A30,SalesData[Sales])</f>
        <v>5779.05</v>
      </c>
    </row>
    <row r="31" spans="1:3">
      <c r="A31" s="17" t="str">
        <v>CUST030</v>
      </c>
      <c r="B31" s="17" t="str">
        <f>_xlfn.XLOOKUP(A31,SalesData[Customer_ID],SalesData[Customer_Name])</f>
        <v>James Wilson</v>
      </c>
      <c r="C31" s="17">
        <f>SUMIF(SalesData[Customer_ID],A31,SalesData[Sales])</f>
        <v>7928.71</v>
      </c>
    </row>
  </sheetData>
  <sortState xmlns:xlrd2="http://schemas.microsoft.com/office/spreadsheetml/2017/richdata2" ref="C2:C1048576">
    <sortCondition descending="1" ref="C2:C1048576"/>
  </sortState>
  <conditionalFormatting sqref="C2:C31">
    <cfRule type="top10" dxfId="0" priority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AF59-4B09-491F-9664-76474ACF23CD}">
  <dimension ref="A1:D14"/>
  <sheetViews>
    <sheetView workbookViewId="0">
      <selection activeCell="T16" sqref="T16"/>
    </sheetView>
  </sheetViews>
  <sheetFormatPr defaultRowHeight="15"/>
  <cols>
    <col min="1" max="1" width="9.140625" customWidth="1"/>
    <col min="2" max="2" width="9.85546875" customWidth="1"/>
    <col min="3" max="3" width="9.7109375" customWidth="1"/>
    <col min="4" max="4" width="12.42578125" customWidth="1"/>
  </cols>
  <sheetData>
    <row r="1" spans="1:4">
      <c r="A1" s="10" t="s">
        <v>9</v>
      </c>
      <c r="B1" s="10" t="s">
        <v>87</v>
      </c>
      <c r="C1" s="10" t="s">
        <v>90</v>
      </c>
      <c r="D1" s="10" t="s">
        <v>91</v>
      </c>
    </row>
    <row r="2" spans="1:4">
      <c r="A2" s="11" t="str" cm="1">
        <f t="array" ref="A2:A14">_xlfn._xlws.SORT(_xlfn.UNIQUE('Raw Data'!J2:J201))</f>
        <v>Apr-2024</v>
      </c>
      <c r="B2" s="11">
        <f>SUMIF('Raw Data'!$J$2:$J$201,A2,'Raw Data'!$E$2:$E$201)</f>
        <v>19029.96</v>
      </c>
      <c r="C2" s="11" t="str">
        <f>""</f>
        <v/>
      </c>
      <c r="D2" s="11"/>
    </row>
    <row r="3" spans="1:4">
      <c r="A3" s="11" t="str">
        <v>Apr-2025</v>
      </c>
      <c r="B3" s="11">
        <f>SUMIF('Raw Data'!$J$2:$J$201,A3,'Raw Data'!$E$2:$E$201)</f>
        <v>3212.17</v>
      </c>
      <c r="C3" s="11">
        <f>IFERROR(B3/B2-1,"")</f>
        <v>-0.83120458477054071</v>
      </c>
      <c r="D3" s="11" t="str">
        <f>IF(C3&gt;0,"↑",IF(C3&lt;0,"↓","→"))</f>
        <v>↓</v>
      </c>
    </row>
    <row r="4" spans="1:4">
      <c r="A4" s="11" t="str">
        <v>Aug-2024</v>
      </c>
      <c r="B4" s="11">
        <f>SUMIF('Raw Data'!$J$2:$J$201,A4,'Raw Data'!$E$2:$E$201)</f>
        <v>10091.700000000001</v>
      </c>
      <c r="C4" s="11">
        <f t="shared" ref="C4:C13" si="0">IFERROR(B4/B3-1,"")</f>
        <v>2.1417079419831455</v>
      </c>
      <c r="D4" s="11" t="str">
        <f t="shared" ref="D4:D14" si="1">IF(C4&gt;0,"↑",IF(C4&lt;0,"↓","→"))</f>
        <v>↑</v>
      </c>
    </row>
    <row r="5" spans="1:4">
      <c r="A5" s="11" t="str">
        <v>Dec-2024</v>
      </c>
      <c r="B5" s="11">
        <f>SUMIF('Raw Data'!$J$2:$J$201,A5,'Raw Data'!$E$2:$E$201)</f>
        <v>11120.039999999999</v>
      </c>
      <c r="C5" s="11">
        <f t="shared" si="0"/>
        <v>0.10189958084366335</v>
      </c>
      <c r="D5" s="11" t="str">
        <f t="shared" si="1"/>
        <v>↑</v>
      </c>
    </row>
    <row r="6" spans="1:4">
      <c r="A6" s="11" t="str">
        <v>Feb-2025</v>
      </c>
      <c r="B6" s="11">
        <f>SUMIF('Raw Data'!$J$2:$J$201,A6,'Raw Data'!$E$2:$E$201)</f>
        <v>14006.359999999997</v>
      </c>
      <c r="C6" s="11">
        <f t="shared" si="0"/>
        <v>0.2595602174092897</v>
      </c>
      <c r="D6" s="11" t="str">
        <f t="shared" si="1"/>
        <v>↑</v>
      </c>
    </row>
    <row r="7" spans="1:4">
      <c r="A7" s="11" t="str">
        <v>Jan-2025</v>
      </c>
      <c r="B7" s="11">
        <f>SUMIF('Raw Data'!$J$2:$J$201,A7,'Raw Data'!$E$2:$E$201)</f>
        <v>14914.65</v>
      </c>
      <c r="C7" s="11">
        <f t="shared" si="0"/>
        <v>6.4848397442305084E-2</v>
      </c>
      <c r="D7" s="11" t="str">
        <f t="shared" si="1"/>
        <v>↑</v>
      </c>
    </row>
    <row r="8" spans="1:4">
      <c r="A8" s="11" t="str">
        <v>Jul-2024</v>
      </c>
      <c r="B8" s="11">
        <f>SUMIF('Raw Data'!$J$2:$J$201,A8,'Raw Data'!$E$2:$E$201)</f>
        <v>11609.039999999999</v>
      </c>
      <c r="C8" s="11">
        <f>IFERROR(B8/B7-1,"")</f>
        <v>-0.22163510374028228</v>
      </c>
      <c r="D8" s="11" t="str">
        <f t="shared" si="1"/>
        <v>↓</v>
      </c>
    </row>
    <row r="9" spans="1:4">
      <c r="A9" s="11" t="str">
        <v>Jun-2024</v>
      </c>
      <c r="B9" s="11">
        <f>SUMIF('Raw Data'!$J$2:$J$201,A9,'Raw Data'!$E$2:$E$201)</f>
        <v>20187.509999999998</v>
      </c>
      <c r="C9" s="11">
        <f t="shared" si="0"/>
        <v>0.73894740650389701</v>
      </c>
      <c r="D9" s="11" t="str">
        <f t="shared" si="1"/>
        <v>↑</v>
      </c>
    </row>
    <row r="10" spans="1:4">
      <c r="A10" s="11" t="str">
        <v>Mar-2025</v>
      </c>
      <c r="B10" s="11">
        <f>SUMIF('Raw Data'!$J$2:$J$201,A10,'Raw Data'!$E$2:$E$201)</f>
        <v>17655.22</v>
      </c>
      <c r="C10" s="11">
        <f t="shared" si="0"/>
        <v>-0.12543845179519408</v>
      </c>
      <c r="D10" s="11" t="str">
        <f t="shared" si="1"/>
        <v>↓</v>
      </c>
    </row>
    <row r="11" spans="1:4">
      <c r="A11" s="11" t="str">
        <v>May-2024</v>
      </c>
      <c r="B11" s="11">
        <f>SUMIF('Raw Data'!$J$2:$J$201,A11,'Raw Data'!$E$2:$E$201)</f>
        <v>18507.340000000004</v>
      </c>
      <c r="C11" s="11">
        <f t="shared" si="0"/>
        <v>4.8264479287145834E-2</v>
      </c>
      <c r="D11" s="11" t="str">
        <f t="shared" si="1"/>
        <v>↑</v>
      </c>
    </row>
    <row r="12" spans="1:4">
      <c r="A12" s="11" t="str">
        <v>Nov-2024</v>
      </c>
      <c r="B12" s="11">
        <f>SUMIF('Raw Data'!$J$2:$J$201,A12,'Raw Data'!$E$2:$E$201)</f>
        <v>20135.030000000002</v>
      </c>
      <c r="C12" s="11">
        <f t="shared" si="0"/>
        <v>8.7948349141475646E-2</v>
      </c>
      <c r="D12" s="11" t="str">
        <f t="shared" si="1"/>
        <v>↑</v>
      </c>
    </row>
    <row r="13" spans="1:4">
      <c r="A13" s="11" t="str">
        <v>Oct-2024</v>
      </c>
      <c r="B13" s="11">
        <f>SUMIF('Raw Data'!$J$2:$J$201,A13,'Raw Data'!$E$2:$E$201)</f>
        <v>14215.239999999998</v>
      </c>
      <c r="C13" s="11">
        <f t="shared" si="0"/>
        <v>-0.29400452842632985</v>
      </c>
      <c r="D13" s="11" t="str">
        <f t="shared" si="1"/>
        <v>↓</v>
      </c>
    </row>
    <row r="14" spans="1:4">
      <c r="A14" s="11" t="str">
        <v>Sep-2024</v>
      </c>
      <c r="B14" s="11">
        <f>SUMIF('Raw Data'!$J$2:$J$201,A14,'Raw Data'!$E$2:$E$201)</f>
        <v>20533.500000000004</v>
      </c>
      <c r="C14" s="11">
        <f>IFERROR(B14/B13-1,"")</f>
        <v>0.44447086366463084</v>
      </c>
      <c r="D14" s="11" t="str">
        <f t="shared" si="1"/>
        <v>↑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4090-7C0B-4C9A-8862-F1AD41C6F1E9}">
  <dimension ref="A1:E9"/>
  <sheetViews>
    <sheetView workbookViewId="0">
      <selection activeCell="E17" sqref="E17"/>
    </sheetView>
  </sheetViews>
  <sheetFormatPr defaultRowHeight="15"/>
  <cols>
    <col min="1" max="1" width="16.85546875" customWidth="1"/>
    <col min="2" max="2" width="10.5703125" customWidth="1"/>
    <col min="3" max="3" width="11.85546875" style="1" bestFit="1" customWidth="1"/>
    <col min="4" max="4" width="10.85546875" style="13" bestFit="1" customWidth="1"/>
  </cols>
  <sheetData>
    <row r="1" spans="1:5">
      <c r="A1" s="50" t="s">
        <v>92</v>
      </c>
      <c r="B1" s="50"/>
      <c r="C1" s="50"/>
      <c r="D1" s="50"/>
      <c r="E1" s="50"/>
    </row>
    <row r="2" spans="1:5">
      <c r="A2" s="50"/>
      <c r="B2" s="50"/>
      <c r="C2" s="50"/>
      <c r="D2" s="50"/>
      <c r="E2" s="50"/>
    </row>
    <row r="3" spans="1:5">
      <c r="A3" s="4" t="s">
        <v>93</v>
      </c>
      <c r="B3" s="4" t="s">
        <v>4</v>
      </c>
      <c r="C3" s="5" t="s">
        <v>5</v>
      </c>
      <c r="D3" s="12" t="s">
        <v>6</v>
      </c>
      <c r="E3" s="4" t="s">
        <v>8</v>
      </c>
    </row>
    <row r="4" spans="1:5">
      <c r="A4" s="4" t="s">
        <v>94</v>
      </c>
      <c r="B4" s="2">
        <f>COUNT('Raw Data'!E2:E201)</f>
        <v>200</v>
      </c>
      <c r="C4" s="9">
        <f>COUNT('Raw Data'!F2:F201)</f>
        <v>200</v>
      </c>
      <c r="D4" s="7">
        <f>COUNT('Raw Data'!G2:G201)</f>
        <v>200</v>
      </c>
      <c r="E4" s="2">
        <f>COUNT('Raw Data'!I2:I201)</f>
        <v>200</v>
      </c>
    </row>
    <row r="5" spans="1:5">
      <c r="A5" s="4" t="s">
        <v>95</v>
      </c>
      <c r="B5" s="3">
        <f>AVERAGE('Raw Data'!E2:E201)</f>
        <v>976.08879999999976</v>
      </c>
      <c r="C5" s="9">
        <f>AVERAGE('Raw Data'!F2:F201)</f>
        <v>9.9949999999999992</v>
      </c>
      <c r="D5" s="7">
        <f>AVERAGE('Raw Data'!G2:G201)</f>
        <v>9.7249999999999975E-2</v>
      </c>
      <c r="E5" s="3">
        <f>AVERAGE('Raw Data'!I2:I201)</f>
        <v>341.43505000000005</v>
      </c>
    </row>
    <row r="6" spans="1:5">
      <c r="A6" s="4" t="s">
        <v>96</v>
      </c>
      <c r="B6" s="3">
        <f>_xlfn.STDEV.S('Raw Data'!E2:E201)</f>
        <v>299.27375909856408</v>
      </c>
      <c r="C6" s="9">
        <f>_xlfn.STDEV.S('Raw Data'!F2:F201)</f>
        <v>5.6466270449645082</v>
      </c>
      <c r="D6" s="7">
        <f>_xlfn.STDEV.S('Raw Data'!G2:G201)</f>
        <v>7.232629511335488E-2</v>
      </c>
      <c r="E6" s="3">
        <f>_xlfn.STDEV.S('Raw Data'!I2:I201)</f>
        <v>135.76619405521654</v>
      </c>
    </row>
    <row r="7" spans="1:5">
      <c r="A7" s="4" t="s">
        <v>97</v>
      </c>
      <c r="B7" s="3">
        <f>MIN('Raw Data'!E2:E201)</f>
        <v>258.51</v>
      </c>
      <c r="C7" s="9">
        <f>MIN('Raw Data'!F2:F201)</f>
        <v>1</v>
      </c>
      <c r="D7" s="7">
        <f>MIN('Raw Data'!G2:G201)</f>
        <v>0</v>
      </c>
      <c r="E7" s="3">
        <f>MIN('Raw Data'!I2:I201)</f>
        <v>64.63</v>
      </c>
    </row>
    <row r="8" spans="1:5">
      <c r="A8" s="4" t="s">
        <v>98</v>
      </c>
      <c r="B8" s="3">
        <f>MAX('Raw Data'!E2:E201)</f>
        <v>1923.66</v>
      </c>
      <c r="C8" s="9">
        <f>MAX('Raw Data'!F2:F201)</f>
        <v>19</v>
      </c>
      <c r="D8" s="7">
        <f>MAX('Raw Data'!G2:G201)</f>
        <v>0.2</v>
      </c>
      <c r="E8" s="3">
        <f>MAX('Raw Data'!I2:I201)</f>
        <v>769.46</v>
      </c>
    </row>
    <row r="9" spans="1:5">
      <c r="A9" s="4" t="s">
        <v>99</v>
      </c>
      <c r="B9" s="3">
        <f>SUM('Raw Data'!E2:E201)</f>
        <v>195217.75999999995</v>
      </c>
      <c r="C9" s="9">
        <f>SUM('Raw Data'!F2:F201)</f>
        <v>1999</v>
      </c>
      <c r="D9" s="7">
        <f>SUM('Raw Data'!G2:G201)</f>
        <v>19.449999999999996</v>
      </c>
      <c r="E9" s="3">
        <f>SUM('Raw Data'!I2:I201)</f>
        <v>68287.010000000009</v>
      </c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312D-C992-421F-A822-8A9788F8468F}">
  <dimension ref="A1:D11"/>
  <sheetViews>
    <sheetView workbookViewId="0">
      <selection activeCell="G7" sqref="G7"/>
    </sheetView>
  </sheetViews>
  <sheetFormatPr defaultRowHeight="15"/>
  <cols>
    <col min="1" max="1" width="18.140625" customWidth="1"/>
    <col min="2" max="2" width="32.28515625" customWidth="1"/>
    <col min="3" max="4" width="0" hidden="1" customWidth="1"/>
  </cols>
  <sheetData>
    <row r="1" spans="1:4">
      <c r="A1" s="51" t="s">
        <v>100</v>
      </c>
      <c r="B1" s="51"/>
      <c r="C1" s="51"/>
      <c r="D1" s="51"/>
    </row>
    <row r="2" spans="1:4">
      <c r="A2" s="51"/>
      <c r="B2" s="51"/>
      <c r="C2" s="51"/>
      <c r="D2" s="51"/>
    </row>
    <row r="3" spans="1:4">
      <c r="A3" s="4" t="s">
        <v>101</v>
      </c>
      <c r="B3" s="4" t="s">
        <v>102</v>
      </c>
      <c r="C3" s="2"/>
      <c r="D3" s="2"/>
    </row>
    <row r="4" spans="1:4">
      <c r="A4" s="2" t="s">
        <v>103</v>
      </c>
      <c r="B4" s="2" t="s">
        <v>104</v>
      </c>
      <c r="C4" s="2"/>
      <c r="D4" s="2"/>
    </row>
    <row r="5" spans="1:4">
      <c r="A5" s="2" t="s">
        <v>105</v>
      </c>
      <c r="B5" s="2" t="s">
        <v>106</v>
      </c>
      <c r="C5" s="2"/>
      <c r="D5" s="2"/>
    </row>
    <row r="7" spans="1:4">
      <c r="A7" s="4" t="s">
        <v>107</v>
      </c>
      <c r="B7" s="3">
        <f>CORREL('Raw Data'!G2:G201,'Raw Data'!I2:I201)</f>
        <v>-0.16557933453514853</v>
      </c>
      <c r="C7" s="6"/>
      <c r="D7" s="6"/>
    </row>
    <row r="8" spans="1:4">
      <c r="A8" s="4" t="s">
        <v>108</v>
      </c>
      <c r="B8" s="3">
        <f>B7^2</f>
        <v>2.741651602510263E-2</v>
      </c>
      <c r="C8" s="6"/>
      <c r="D8" s="6"/>
    </row>
    <row r="9" spans="1:4">
      <c r="A9" s="4" t="s">
        <v>109</v>
      </c>
      <c r="B9" s="3">
        <f>SLOPE('Raw Data'!I2:I201,'Raw Data'!G2:G201)</f>
        <v>-310.81470478752124</v>
      </c>
      <c r="C9" s="6"/>
      <c r="D9" s="6"/>
    </row>
    <row r="10" spans="1:4">
      <c r="A10" s="4" t="s">
        <v>110</v>
      </c>
      <c r="B10" s="3">
        <f>INTERCEPT('Raw Data'!I2:I201,'Raw Data'!G2:G201)</f>
        <v>371.66178004058645</v>
      </c>
      <c r="C10" s="6"/>
      <c r="D10" s="6"/>
    </row>
    <row r="11" spans="1:4">
      <c r="A11" s="4" t="s">
        <v>111</v>
      </c>
      <c r="B11" s="8" t="str">
        <f>"Profit = "&amp;TEXT(B10,"0.00")&amp;" + "&amp;TEXT(B9,"0.00")&amp;" × Discount"</f>
        <v>Profit = 371.66 + -310.81 × Discount</v>
      </c>
      <c r="C11" s="14"/>
      <c r="D11" s="14"/>
    </row>
  </sheetData>
  <mergeCells count="1">
    <mergeCell ref="A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617C-2F71-41D8-80ED-E1EA19D5296C}">
  <dimension ref="A1:Z6"/>
  <sheetViews>
    <sheetView showGridLines="0" workbookViewId="0">
      <selection activeCell="S31" sqref="S31"/>
    </sheetView>
  </sheetViews>
  <sheetFormatPr defaultRowHeight="15"/>
  <cols>
    <col min="1" max="1" width="17.7109375" style="15" customWidth="1"/>
    <col min="2" max="2" width="50.85546875" customWidth="1"/>
    <col min="3" max="3" width="12" customWidth="1"/>
    <col min="4" max="4" width="14.5703125" customWidth="1"/>
    <col min="5" max="5" width="30.7109375" customWidth="1"/>
    <col min="7" max="7" width="17" customWidth="1"/>
    <col min="8" max="8" width="22.85546875" customWidth="1"/>
    <col min="21" max="22" width="0" hidden="1" customWidth="1"/>
  </cols>
  <sheetData>
    <row r="1" spans="1:26" ht="31.5">
      <c r="A1" s="47" t="s">
        <v>112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3"/>
      <c r="X1" s="43"/>
      <c r="Y1" s="43"/>
      <c r="Z1" s="42"/>
    </row>
    <row r="2" spans="1:26" ht="21">
      <c r="A2" s="44"/>
    </row>
    <row r="3" spans="1:26" ht="23.25">
      <c r="A3" s="44"/>
      <c r="B3" s="52" t="s">
        <v>87</v>
      </c>
      <c r="C3" s="45"/>
      <c r="D3" s="60" t="s">
        <v>113</v>
      </c>
      <c r="E3" s="61"/>
      <c r="F3" s="44"/>
      <c r="G3" s="57" t="s">
        <v>114</v>
      </c>
      <c r="H3" s="57"/>
      <c r="K3" s="54" t="s">
        <v>115</v>
      </c>
      <c r="L3" s="54"/>
      <c r="M3" s="54"/>
      <c r="N3" s="54"/>
    </row>
    <row r="4" spans="1:26" ht="21">
      <c r="A4" s="44"/>
      <c r="B4" s="53">
        <f>SUM('Raw Data'!E2:E201)</f>
        <v>195217.75999999995</v>
      </c>
      <c r="D4" s="58">
        <f>SUM('Raw Data'!I2:I201)</f>
        <v>68287.010000000009</v>
      </c>
      <c r="E4" s="59"/>
      <c r="F4" s="46"/>
      <c r="G4" s="56">
        <f>COUNTA('Raw Data'!A2:A201)</f>
        <v>200</v>
      </c>
      <c r="H4" s="56"/>
      <c r="K4" s="55">
        <f>AVERAGE('Raw Data'!G2:G201)</f>
        <v>9.7249999999999975E-2</v>
      </c>
      <c r="L4" s="55"/>
      <c r="M4" s="55"/>
      <c r="N4" s="55"/>
    </row>
    <row r="5" spans="1:26">
      <c r="A5"/>
    </row>
    <row r="6" spans="1:26" ht="21">
      <c r="A6" s="44"/>
    </row>
  </sheetData>
  <mergeCells count="7">
    <mergeCell ref="A1:V1"/>
    <mergeCell ref="G3:H3"/>
    <mergeCell ref="G4:H4"/>
    <mergeCell ref="K3:N3"/>
    <mergeCell ref="K4:N4"/>
    <mergeCell ref="D3:E3"/>
    <mergeCell ref="D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2026-09-29T04:48:11Z</dcterms:created>
  <dcterms:modified xsi:type="dcterms:W3CDTF">2026-09-30T07:50:53Z</dcterms:modified>
  <cp:category/>
  <cp:contentStatus/>
</cp:coreProperties>
</file>